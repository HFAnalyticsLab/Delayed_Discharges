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hehealthfoundation98-my.sharepoint.com/personal/george_stevenson_health_org_uk/Documents/Documents/RAD/Delayed Discharges/Delayed_Discharges/"/>
    </mc:Choice>
  </mc:AlternateContent>
  <xr:revisionPtr revIDLastSave="212" documentId="8_{A2178342-C031-4452-A281-3008D544C3D1}" xr6:coauthVersionLast="47" xr6:coauthVersionMax="47" xr10:uidLastSave="{4CBA8B4E-8F2F-486C-950C-61C6536DD28D}"/>
  <bookViews>
    <workbookView xWindow="-28920" yWindow="-7890" windowWidth="29040" windowHeight="15720" firstSheet="1" activeTab="6" xr2:uid="{00000000-000D-0000-FFFF-FFFF00000000}"/>
  </bookViews>
  <sheets>
    <sheet name="Best_Trusts" sheetId="1" r:id="rId1"/>
    <sheet name="Figure 1" sheetId="2" r:id="rId2"/>
    <sheet name="Figure 2" sheetId="3" r:id="rId3"/>
    <sheet name="Figure 3" sheetId="4" r:id="rId4"/>
    <sheet name="Figure 4" sheetId="5" r:id="rId5"/>
    <sheet name="Figure 4b" sheetId="6" r:id="rId6"/>
    <sheet name="Figure 5" sheetId="7" r:id="rId7"/>
    <sheet name="Figure 6" sheetId="8" r:id="rId8"/>
    <sheet name="Figure 7" sheetId="9" r:id="rId9"/>
    <sheet name="Figure 7b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7" l="1"/>
  <c r="R26" i="7"/>
  <c r="Y5" i="7"/>
  <c r="W5" i="7"/>
  <c r="Y12" i="7"/>
  <c r="W12" i="7"/>
  <c r="Y19" i="7"/>
  <c r="W19" i="7"/>
  <c r="R19" i="7"/>
  <c r="T19" i="7"/>
  <c r="T12" i="7"/>
  <c r="R12" i="7"/>
  <c r="T5" i="7"/>
  <c r="R5" i="7"/>
  <c r="H14" i="7"/>
  <c r="J14" i="7"/>
  <c r="M14" i="7"/>
  <c r="O14" i="7"/>
  <c r="D15" i="7"/>
  <c r="D16" i="7"/>
  <c r="D17" i="7"/>
  <c r="D18" i="7"/>
  <c r="D19" i="7"/>
  <c r="D20" i="7"/>
  <c r="D21" i="7"/>
  <c r="D22" i="7"/>
  <c r="D23" i="7"/>
  <c r="C15" i="7"/>
  <c r="C16" i="7"/>
  <c r="C17" i="7"/>
  <c r="C18" i="7"/>
  <c r="C19" i="7"/>
  <c r="C20" i="7"/>
  <c r="C21" i="7"/>
  <c r="C22" i="7"/>
  <c r="C23" i="7"/>
  <c r="C14" i="7"/>
  <c r="D14" i="7"/>
  <c r="C19" i="2"/>
  <c r="C18" i="2"/>
  <c r="W6" i="8"/>
  <c r="AB14" i="8"/>
  <c r="AB13" i="8"/>
  <c r="AB3" i="8"/>
  <c r="AB4" i="8"/>
  <c r="AB5" i="8"/>
  <c r="AB6" i="8"/>
  <c r="AB7" i="8"/>
  <c r="AB8" i="8"/>
  <c r="AB9" i="8"/>
  <c r="AB10" i="8"/>
  <c r="AB11" i="8"/>
  <c r="AB2" i="8"/>
  <c r="AA3" i="8"/>
  <c r="AA4" i="8"/>
  <c r="AA5" i="8"/>
  <c r="AA6" i="8"/>
  <c r="AA7" i="8"/>
  <c r="AA8" i="8"/>
  <c r="AA9" i="8"/>
  <c r="AA10" i="8"/>
  <c r="AA11" i="8"/>
  <c r="AA2" i="8"/>
  <c r="Z3" i="8"/>
  <c r="Z4" i="8"/>
  <c r="Z5" i="8"/>
  <c r="Z6" i="8"/>
  <c r="Z7" i="8"/>
  <c r="Z8" i="8"/>
  <c r="Z9" i="8"/>
  <c r="Z10" i="8"/>
  <c r="Z11" i="8"/>
  <c r="Z2" i="8"/>
  <c r="W14" i="8"/>
  <c r="X14" i="8"/>
  <c r="V14" i="8"/>
  <c r="X13" i="8"/>
  <c r="W13" i="8"/>
  <c r="V13" i="8"/>
  <c r="X3" i="8"/>
  <c r="X4" i="8"/>
  <c r="X5" i="8"/>
  <c r="X6" i="8"/>
  <c r="X7" i="8"/>
  <c r="X8" i="8"/>
  <c r="X9" i="8"/>
  <c r="X10" i="8"/>
  <c r="X11" i="8"/>
  <c r="X2" i="8"/>
  <c r="W3" i="8"/>
  <c r="W4" i="8"/>
  <c r="W5" i="8"/>
  <c r="W7" i="8"/>
  <c r="W8" i="8"/>
  <c r="W9" i="8"/>
  <c r="W10" i="8"/>
  <c r="W11" i="8"/>
  <c r="W2" i="8"/>
  <c r="V4" i="8"/>
  <c r="V3" i="8"/>
  <c r="V5" i="8"/>
  <c r="V6" i="8"/>
  <c r="V7" i="8"/>
  <c r="V8" i="8"/>
  <c r="V9" i="8"/>
  <c r="V10" i="8"/>
  <c r="V11" i="8"/>
  <c r="V2" i="8"/>
  <c r="C21" i="10"/>
  <c r="C19" i="10"/>
  <c r="C18" i="10"/>
  <c r="E23" i="7" l="1"/>
  <c r="F20" i="7"/>
  <c r="E17" i="7"/>
  <c r="E22" i="7"/>
  <c r="E21" i="7"/>
  <c r="E20" i="7"/>
  <c r="E19" i="7"/>
  <c r="E18" i="7"/>
  <c r="E15" i="7"/>
  <c r="F23" i="7"/>
  <c r="F14" i="7"/>
  <c r="E16" i="7"/>
  <c r="F22" i="7"/>
  <c r="E14" i="7"/>
  <c r="F21" i="7"/>
  <c r="F19" i="7"/>
  <c r="F18" i="7"/>
  <c r="F17" i="7"/>
  <c r="F16" i="7"/>
  <c r="F15" i="7"/>
</calcChain>
</file>

<file path=xl/sharedStrings.xml><?xml version="1.0" encoding="utf-8"?>
<sst xmlns="http://schemas.openxmlformats.org/spreadsheetml/2006/main" count="707" uniqueCount="216">
  <si>
    <t>RAE</t>
  </si>
  <si>
    <t>RCD</t>
  </si>
  <si>
    <t>RCF</t>
  </si>
  <si>
    <t>RDE</t>
  </si>
  <si>
    <t>RJC</t>
  </si>
  <si>
    <t>RK5</t>
  </si>
  <si>
    <t>RKE</t>
  </si>
  <si>
    <t>RVR</t>
  </si>
  <si>
    <t>RWP</t>
  </si>
  <si>
    <t>RXQ</t>
  </si>
  <si>
    <t>month</t>
  </si>
  <si>
    <t>org_code</t>
  </si>
  <si>
    <t>perc_patients_delayed</t>
  </si>
  <si>
    <t>patients_discharged_volume</t>
  </si>
  <si>
    <t>perc_bed_delays</t>
  </si>
  <si>
    <t>Apr-24</t>
  </si>
  <si>
    <t>National</t>
  </si>
  <si>
    <t>May-24</t>
  </si>
  <si>
    <t>Jun-24</t>
  </si>
  <si>
    <t>Jul-24</t>
  </si>
  <si>
    <t>Aug-24</t>
  </si>
  <si>
    <t>Sept-24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</si>
  <si>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</si>
  <si>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</si>
  <si>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</si>
  <si>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</si>
  <si>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</si>
  <si>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</si>
  <si>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</si>
  <si>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</si>
  <si>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</si>
  <si>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post</t>
  </si>
  <si>
    <t>pre</t>
  </si>
  <si>
    <t>difference</t>
  </si>
  <si>
    <t>pre_median</t>
  </si>
  <si>
    <t>post_median</t>
  </si>
  <si>
    <t>median_difference</t>
  </si>
  <si>
    <t>pre_mean</t>
  </si>
  <si>
    <t>post_mean</t>
  </si>
  <si>
    <t>mean_difference</t>
  </si>
  <si>
    <t>R0A</t>
  </si>
  <si>
    <t>R0B</t>
  </si>
  <si>
    <t>R0D</t>
  </si>
  <si>
    <t>R1F</t>
  </si>
  <si>
    <t>R1K</t>
  </si>
  <si>
    <t>RA2</t>
  </si>
  <si>
    <t>RA7</t>
  </si>
  <si>
    <t>RA9</t>
  </si>
  <si>
    <t>RAJ</t>
  </si>
  <si>
    <t>RAL</t>
  </si>
  <si>
    <t>RAS</t>
  </si>
  <si>
    <t>RBD</t>
  </si>
  <si>
    <t>RBK</t>
  </si>
  <si>
    <t>RBL</t>
  </si>
  <si>
    <t>RBN</t>
  </si>
  <si>
    <t>RC9</t>
  </si>
  <si>
    <t>RCB</t>
  </si>
  <si>
    <t>RD1</t>
  </si>
  <si>
    <t>RD8</t>
  </si>
  <si>
    <t>RDU</t>
  </si>
  <si>
    <t>REF</t>
  </si>
  <si>
    <t>REM</t>
  </si>
  <si>
    <t>RF4</t>
  </si>
  <si>
    <t>RFF</t>
  </si>
  <si>
    <t>RFR</t>
  </si>
  <si>
    <t>RFS</t>
  </si>
  <si>
    <t>RGN</t>
  </si>
  <si>
    <t>RGP</t>
  </si>
  <si>
    <t>RGR</t>
  </si>
  <si>
    <t>RGT</t>
  </si>
  <si>
    <t>RH5</t>
  </si>
  <si>
    <t>RH8</t>
  </si>
  <si>
    <t>RHM</t>
  </si>
  <si>
    <t>RHQ</t>
  </si>
  <si>
    <t>RHU</t>
  </si>
  <si>
    <t>RHW</t>
  </si>
  <si>
    <t>RJ2</t>
  </si>
  <si>
    <t>RJ6</t>
  </si>
  <si>
    <t>RJ7</t>
  </si>
  <si>
    <t>RJE</t>
  </si>
  <si>
    <t>RJL</t>
  </si>
  <si>
    <t>RJR</t>
  </si>
  <si>
    <t>RK9</t>
  </si>
  <si>
    <t>RKB</t>
  </si>
  <si>
    <t>RL4</t>
  </si>
  <si>
    <t>RLQ</t>
  </si>
  <si>
    <t>RLT</t>
  </si>
  <si>
    <t>RM1</t>
  </si>
  <si>
    <t>RM3</t>
  </si>
  <si>
    <t>RMC</t>
  </si>
  <si>
    <t>RMP</t>
  </si>
  <si>
    <t>RN3</t>
  </si>
  <si>
    <t>RN5</t>
  </si>
  <si>
    <t>RN7</t>
  </si>
  <si>
    <t>RNA</t>
  </si>
  <si>
    <t>RNN</t>
  </si>
  <si>
    <t>RNQ</t>
  </si>
  <si>
    <t>RNS</t>
  </si>
  <si>
    <t>RNZ</t>
  </si>
  <si>
    <t>RP5</t>
  </si>
  <si>
    <t>RPA</t>
  </si>
  <si>
    <t>RQM</t>
  </si>
  <si>
    <t>RQX</t>
  </si>
  <si>
    <t>RR7</t>
  </si>
  <si>
    <t>RR8</t>
  </si>
  <si>
    <t>RRK</t>
  </si>
  <si>
    <t>RRV</t>
  </si>
  <si>
    <t>RTD</t>
  </si>
  <si>
    <t>RTE</t>
  </si>
  <si>
    <t>RTF</t>
  </si>
  <si>
    <t>RTG</t>
  </si>
  <si>
    <t>RTH</t>
  </si>
  <si>
    <t>RTK</t>
  </si>
  <si>
    <t>RTP</t>
  </si>
  <si>
    <t>RTR</t>
  </si>
  <si>
    <t>RTX</t>
  </si>
  <si>
    <t>RVJ</t>
  </si>
  <si>
    <t>RVV</t>
  </si>
  <si>
    <t>RVW</t>
  </si>
  <si>
    <t>RWA</t>
  </si>
  <si>
    <t>RWD</t>
  </si>
  <si>
    <t>RWE</t>
  </si>
  <si>
    <t>RWF</t>
  </si>
  <si>
    <t>RWG</t>
  </si>
  <si>
    <t>RWH</t>
  </si>
  <si>
    <t>RWJ</t>
  </si>
  <si>
    <t>RWW</t>
  </si>
  <si>
    <t>RWY</t>
  </si>
  <si>
    <t>RX1</t>
  </si>
  <si>
    <t>RXC</t>
  </si>
  <si>
    <t>RXF</t>
  </si>
  <si>
    <t>RXK</t>
  </si>
  <si>
    <t>RXL</t>
  </si>
  <si>
    <t>RXN</t>
  </si>
  <si>
    <t>RXP</t>
  </si>
  <si>
    <t>RXW</t>
  </si>
  <si>
    <t>RYJ</t>
  </si>
  <si>
    <t>RYR</t>
  </si>
  <si>
    <t>rank_pre</t>
  </si>
  <si>
    <t>rank_post</t>
  </si>
  <si>
    <t>rank_change</t>
  </si>
  <si>
    <t>Pre_occupancy</t>
  </si>
  <si>
    <t>Post_occupancy</t>
  </si>
  <si>
    <t>Median_Pre_occupancy</t>
  </si>
  <si>
    <t>Median_Post_occupancy</t>
  </si>
  <si>
    <t>avgbest_Pre_occupancy</t>
  </si>
  <si>
    <t>avgbest_Post_occupancy</t>
  </si>
  <si>
    <t>Pre_beds</t>
  </si>
  <si>
    <t>Post_beds</t>
  </si>
  <si>
    <t>pct_difference</t>
  </si>
  <si>
    <t>Pre_doctors</t>
  </si>
  <si>
    <t>Pre_nurses</t>
  </si>
  <si>
    <t>Post_doctors</t>
  </si>
  <si>
    <t>Post_nurses</t>
  </si>
  <si>
    <t>Median_Pre_nurses</t>
  </si>
  <si>
    <t>Median_Post_nurses</t>
  </si>
  <si>
    <t>Median_Pre_doctors</t>
  </si>
  <si>
    <t>Median_Post_doctors</t>
  </si>
  <si>
    <t>avgbest_Pre_nurses</t>
  </si>
  <si>
    <t>avgbest_Post_nurses</t>
  </si>
  <si>
    <t>avgbest_Pre_doctors</t>
  </si>
  <si>
    <t>avgbest_Post_doctors</t>
  </si>
  <si>
    <t>pre_pathway_1</t>
  </si>
  <si>
    <t>pre_pathway_2</t>
  </si>
  <si>
    <t>pre_pathway_3</t>
  </si>
  <si>
    <t>post_pathway_1</t>
  </si>
  <si>
    <t>post_pathway_2</t>
  </si>
  <si>
    <t>post_pathway_3</t>
  </si>
  <si>
    <t>Median_Pre_Pathway_1</t>
  </si>
  <si>
    <t>Median_Post_Pathway_1</t>
  </si>
  <si>
    <t>Median_Pre_Pathway_2</t>
  </si>
  <si>
    <t>Median_Post_Pathway_2</t>
  </si>
  <si>
    <t>Median_Pre_Pathway_3</t>
  </si>
  <si>
    <t>Median_Post_Pathway_3</t>
  </si>
  <si>
    <t>avgbest_Pre_pathway_1</t>
  </si>
  <si>
    <t>avgbest_Post_pathway_1</t>
  </si>
  <si>
    <t>avgbest_Pre_pathway_2</t>
  </si>
  <si>
    <t>avgbest_Post_pathway_2</t>
  </si>
  <si>
    <t>avgbest_Pre_pathway_3</t>
  </si>
  <si>
    <t>avgbest_Post_pathway_3</t>
  </si>
  <si>
    <t>Pre_delay</t>
  </si>
  <si>
    <t>Post_delay</t>
  </si>
  <si>
    <t>Median_Pre_delay</t>
  </si>
  <si>
    <t>Median_Post_delay</t>
  </si>
  <si>
    <t>average_delay_los_minus_0_day_delay</t>
  </si>
  <si>
    <t>Apr-Jun 2024</t>
  </si>
  <si>
    <t>Apr-Jun 2025</t>
  </si>
  <si>
    <t>Trust</t>
  </si>
  <si>
    <t>Pathway</t>
  </si>
  <si>
    <t>Time period</t>
  </si>
  <si>
    <t>Number of discharges</t>
  </si>
  <si>
    <t>Pathway 1</t>
  </si>
  <si>
    <t>Average</t>
  </si>
  <si>
    <t>Pathway 2</t>
  </si>
  <si>
    <t>Pathway 3</t>
  </si>
  <si>
    <t>Pathway 1 change</t>
  </si>
  <si>
    <t>Pathway 2 change</t>
  </si>
  <si>
    <t>Pathway 3 change</t>
  </si>
  <si>
    <t>Total discharges Pre</t>
  </si>
  <si>
    <t>Total discharges Post</t>
  </si>
  <si>
    <t>Bradford</t>
  </si>
  <si>
    <t>Harrogate</t>
  </si>
  <si>
    <t>Airedale</t>
  </si>
  <si>
    <t>East Suffolk and North Essex</t>
  </si>
  <si>
    <t>South Warwickshire</t>
  </si>
  <si>
    <t>Sherwood Forest</t>
  </si>
  <si>
    <t>Whittington</t>
  </si>
  <si>
    <t>Epsom &amp; St Helier</t>
  </si>
  <si>
    <t>Worcestershire</t>
  </si>
  <si>
    <t>Buckinghamshire</t>
  </si>
  <si>
    <t>More of less than national</t>
  </si>
  <si>
    <t>Nurses</t>
  </si>
  <si>
    <t>Doctors</t>
  </si>
  <si>
    <t>Top 10</t>
  </si>
  <si>
    <t>Bed occupancy</t>
  </si>
  <si>
    <t>Delay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</si>
</sst>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99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164" fontId="0" fillId="0" borderId="0" xfId="1" applyNumberFormat="1" applyFont="1"/>
    <xf numFmtId="0" fontId="0" fillId="0" borderId="0" xfId="0" applyAlignment="1">
      <alignment vertical="center" wrapText="1"/>
    </xf>
    <xf numFmtId="9" fontId="0" fillId="0" borderId="0" xfId="1" applyFont="1"/>
    <xf numFmtId="0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4" fontId="3" fillId="0" borderId="11" xfId="1" applyNumberFormat="1" applyFont="1" applyBorder="1" applyAlignment="1">
      <alignment horizontal="center" vertical="center"/>
    </xf>
    <xf numFmtId="164" fontId="3" fillId="0" borderId="16" xfId="1" applyNumberFormat="1" applyFont="1" applyBorder="1" applyAlignment="1">
      <alignment horizontal="center" vertical="center"/>
    </xf>
    <xf numFmtId="164" fontId="5" fillId="2" borderId="16" xfId="1" applyNumberFormat="1" applyFont="1" applyFill="1" applyBorder="1" applyAlignment="1">
      <alignment horizontal="center" vertical="center"/>
    </xf>
    <xf numFmtId="164" fontId="5" fillId="2" borderId="12" xfId="1" applyNumberFormat="1" applyFont="1" applyFill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164" fontId="5" fillId="2" borderId="6" xfId="1" applyNumberFormat="1" applyFont="1" applyFill="1" applyBorder="1" applyAlignment="1">
      <alignment horizontal="center" vertical="center"/>
    </xf>
    <xf numFmtId="10" fontId="3" fillId="0" borderId="11" xfId="1" applyNumberFormat="1" applyFont="1" applyBorder="1" applyAlignment="1">
      <alignment horizontal="center" vertical="center"/>
    </xf>
    <xf numFmtId="10" fontId="3" fillId="0" borderId="16" xfId="1" applyNumberFormat="1" applyFont="1" applyBorder="1" applyAlignment="1">
      <alignment horizontal="center" vertical="center"/>
    </xf>
    <xf numFmtId="10" fontId="3" fillId="0" borderId="4" xfId="1" applyNumberFormat="1" applyFont="1" applyBorder="1" applyAlignment="1">
      <alignment horizontal="center" vertical="center"/>
    </xf>
    <xf numFmtId="10" fontId="3" fillId="0" borderId="5" xfId="1" applyNumberFormat="1" applyFont="1" applyBorder="1" applyAlignment="1">
      <alignment horizontal="center" vertical="center"/>
    </xf>
    <xf numFmtId="10" fontId="3" fillId="0" borderId="12" xfId="1" applyNumberFormat="1" applyFont="1" applyBorder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10" fontId="3" fillId="3" borderId="16" xfId="1" applyNumberFormat="1" applyFont="1" applyFill="1" applyBorder="1" applyAlignment="1">
      <alignment horizontal="center" vertical="center"/>
    </xf>
    <xf numFmtId="10" fontId="3" fillId="3" borderId="12" xfId="1" applyNumberFormat="1" applyFont="1" applyFill="1" applyBorder="1" applyAlignment="1">
      <alignment horizontal="center" vertical="center"/>
    </xf>
    <xf numFmtId="10" fontId="3" fillId="3" borderId="5" xfId="1" applyNumberFormat="1" applyFont="1" applyFill="1" applyBorder="1" applyAlignment="1">
      <alignment horizontal="center" vertical="center"/>
    </xf>
    <xf numFmtId="10" fontId="3" fillId="3" borderId="6" xfId="1" applyNumberFormat="1" applyFont="1" applyFill="1" applyBorder="1" applyAlignment="1">
      <alignment horizontal="center" vertical="center"/>
    </xf>
    <xf numFmtId="164" fontId="3" fillId="4" borderId="16" xfId="1" applyNumberFormat="1" applyFont="1" applyFill="1" applyBorder="1" applyAlignment="1">
      <alignment horizontal="center" vertical="center"/>
    </xf>
    <xf numFmtId="164" fontId="3" fillId="4" borderId="12" xfId="1" applyNumberFormat="1" applyFont="1" applyFill="1" applyBorder="1" applyAlignment="1">
      <alignment horizontal="center" vertical="center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0" fontId="5" fillId="2" borderId="16" xfId="1" applyNumberFormat="1" applyFont="1" applyFill="1" applyBorder="1" applyAlignment="1">
      <alignment horizontal="center" vertical="center"/>
    </xf>
    <xf numFmtId="10" fontId="5" fillId="2" borderId="12" xfId="1" applyNumberFormat="1" applyFont="1" applyFill="1" applyBorder="1" applyAlignment="1">
      <alignment horizontal="center" vertical="center"/>
    </xf>
    <xf numFmtId="10" fontId="5" fillId="2" borderId="5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F9" sqref="F9"/>
    </sheetView>
  </sheetViews>
  <sheetFormatPr defaultColWidth="11.453125" defaultRowHeight="14.5" x14ac:dyDescent="0.35"/>
  <sheetData>
    <row r="1" spans="1:2" x14ac:dyDescent="0.35">
      <c r="A1" t="s">
        <v>0</v>
      </c>
      <c r="B1" t="s">
        <v>200</v>
      </c>
    </row>
    <row r="2" spans="1:2" x14ac:dyDescent="0.35">
      <c r="A2" t="s">
        <v>1</v>
      </c>
      <c r="B2" t="s">
        <v>201</v>
      </c>
    </row>
    <row r="3" spans="1:2" x14ac:dyDescent="0.35">
      <c r="A3" t="s">
        <v>2</v>
      </c>
      <c r="B3" t="s">
        <v>202</v>
      </c>
    </row>
    <row r="4" spans="1:2" x14ac:dyDescent="0.35">
      <c r="A4" t="s">
        <v>3</v>
      </c>
      <c r="B4" t="s">
        <v>203</v>
      </c>
    </row>
    <row r="5" spans="1:2" x14ac:dyDescent="0.35">
      <c r="A5" t="s">
        <v>4</v>
      </c>
      <c r="B5" t="s">
        <v>204</v>
      </c>
    </row>
    <row r="6" spans="1:2" x14ac:dyDescent="0.35">
      <c r="A6" t="s">
        <v>5</v>
      </c>
      <c r="B6" t="s">
        <v>205</v>
      </c>
    </row>
    <row r="7" spans="1:2" x14ac:dyDescent="0.35">
      <c r="A7" t="s">
        <v>6</v>
      </c>
      <c r="B7" t="s">
        <v>206</v>
      </c>
    </row>
    <row r="8" spans="1:2" x14ac:dyDescent="0.35">
      <c r="A8" t="s">
        <v>7</v>
      </c>
      <c r="B8" t="s">
        <v>207</v>
      </c>
    </row>
    <row r="9" spans="1:2" x14ac:dyDescent="0.35">
      <c r="A9" t="s">
        <v>8</v>
      </c>
      <c r="B9" t="s">
        <v>208</v>
      </c>
    </row>
    <row r="10" spans="1:2" x14ac:dyDescent="0.35">
      <c r="A10" t="s">
        <v>9</v>
      </c>
      <c r="B10" t="s">
        <v>209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G20" sqref="G20"/>
    </sheetView>
  </sheetViews>
  <sheetFormatPr defaultColWidth="11.453125" defaultRowHeight="14.5" x14ac:dyDescent="0.35"/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15</v>
      </c>
      <c r="B2" t="s">
        <v>16</v>
      </c>
      <c r="C2">
        <v>13.538357238757399</v>
      </c>
      <c r="D2">
        <v>300908</v>
      </c>
      <c r="E2">
        <v>9.5838871320103305</v>
      </c>
    </row>
    <row r="3" spans="1:5" x14ac:dyDescent="0.35">
      <c r="A3" t="s">
        <v>17</v>
      </c>
      <c r="B3" t="s">
        <v>16</v>
      </c>
      <c r="C3">
        <v>13.170789644387501</v>
      </c>
      <c r="D3">
        <v>328363</v>
      </c>
      <c r="E3">
        <v>9.1589455232544896</v>
      </c>
    </row>
    <row r="4" spans="1:5" x14ac:dyDescent="0.35">
      <c r="A4" t="s">
        <v>18</v>
      </c>
      <c r="B4" t="s">
        <v>16</v>
      </c>
      <c r="C4">
        <v>13.261209363300599</v>
      </c>
      <c r="D4">
        <v>317324</v>
      </c>
      <c r="E4">
        <v>9.0991633390378404</v>
      </c>
    </row>
    <row r="5" spans="1:5" x14ac:dyDescent="0.35">
      <c r="A5" t="s">
        <v>19</v>
      </c>
      <c r="B5" t="s">
        <v>16</v>
      </c>
      <c r="C5">
        <v>13.4822570025716</v>
      </c>
      <c r="D5">
        <v>338697</v>
      </c>
      <c r="E5">
        <v>9.8389641754527002</v>
      </c>
    </row>
    <row r="6" spans="1:5" x14ac:dyDescent="0.35">
      <c r="A6" t="s">
        <v>20</v>
      </c>
      <c r="B6" t="s">
        <v>16</v>
      </c>
      <c r="C6">
        <v>13.0697497383195</v>
      </c>
      <c r="D6">
        <v>336288</v>
      </c>
      <c r="E6">
        <v>9.1647210075438394</v>
      </c>
    </row>
    <row r="7" spans="1:5" x14ac:dyDescent="0.35">
      <c r="A7" t="s">
        <v>21</v>
      </c>
      <c r="B7" t="s">
        <v>16</v>
      </c>
      <c r="C7">
        <v>13.1579187961126</v>
      </c>
      <c r="D7">
        <v>328137</v>
      </c>
      <c r="E7">
        <v>9.6420645995107304</v>
      </c>
    </row>
    <row r="8" spans="1:5" x14ac:dyDescent="0.35">
      <c r="A8" t="s">
        <v>22</v>
      </c>
      <c r="B8" t="s">
        <v>16</v>
      </c>
      <c r="C8">
        <v>13.623155278083299</v>
      </c>
      <c r="D8">
        <v>349985</v>
      </c>
      <c r="E8">
        <v>10.065072602382401</v>
      </c>
    </row>
    <row r="9" spans="1:5" x14ac:dyDescent="0.35">
      <c r="A9" t="s">
        <v>23</v>
      </c>
      <c r="B9" t="s">
        <v>16</v>
      </c>
      <c r="C9">
        <v>13.370486779115</v>
      </c>
      <c r="D9">
        <v>357616</v>
      </c>
      <c r="E9">
        <v>9.9863952643057399</v>
      </c>
    </row>
    <row r="10" spans="1:5" x14ac:dyDescent="0.35">
      <c r="A10" t="s">
        <v>24</v>
      </c>
      <c r="B10" t="s">
        <v>16</v>
      </c>
      <c r="C10">
        <v>13.5515375174963</v>
      </c>
      <c r="D10">
        <v>347931</v>
      </c>
      <c r="E10">
        <v>9.5629420663150597</v>
      </c>
    </row>
    <row r="11" spans="1:5" x14ac:dyDescent="0.35">
      <c r="A11" t="s">
        <v>25</v>
      </c>
      <c r="B11" t="s">
        <v>16</v>
      </c>
      <c r="C11">
        <v>14.473420459004901</v>
      </c>
      <c r="D11">
        <v>354201</v>
      </c>
      <c r="E11">
        <v>10.2444587495728</v>
      </c>
    </row>
    <row r="12" spans="1:5" x14ac:dyDescent="0.35">
      <c r="A12" t="s">
        <v>26</v>
      </c>
      <c r="B12" t="s">
        <v>16</v>
      </c>
      <c r="C12">
        <v>13.971509585574401</v>
      </c>
      <c r="D12">
        <v>324811</v>
      </c>
      <c r="E12">
        <v>10.1883175378935</v>
      </c>
    </row>
    <row r="13" spans="1:5" x14ac:dyDescent="0.35">
      <c r="A13" t="s">
        <v>27</v>
      </c>
      <c r="B13" t="s">
        <v>16</v>
      </c>
      <c r="C13">
        <v>13.7300650154358</v>
      </c>
      <c r="D13">
        <v>351455</v>
      </c>
      <c r="E13">
        <v>10.0872840647072</v>
      </c>
    </row>
    <row r="14" spans="1:5" x14ac:dyDescent="0.35">
      <c r="A14" t="s">
        <v>28</v>
      </c>
      <c r="B14" t="s">
        <v>16</v>
      </c>
      <c r="C14">
        <v>13.672968187789101</v>
      </c>
      <c r="D14">
        <v>350180</v>
      </c>
      <c r="E14">
        <v>10.1452378991297</v>
      </c>
    </row>
    <row r="15" spans="1:5" x14ac:dyDescent="0.35">
      <c r="A15" t="s">
        <v>29</v>
      </c>
      <c r="B15" t="s">
        <v>16</v>
      </c>
      <c r="C15">
        <v>13.8882796036283</v>
      </c>
      <c r="D15">
        <v>360167</v>
      </c>
      <c r="E15">
        <v>10.248189709469299</v>
      </c>
    </row>
    <row r="16" spans="1:5" x14ac:dyDescent="0.35">
      <c r="A16" t="s">
        <v>30</v>
      </c>
      <c r="B16" t="s">
        <v>16</v>
      </c>
      <c r="C16">
        <v>13.578801196799001</v>
      </c>
      <c r="D16">
        <v>349265</v>
      </c>
      <c r="E16">
        <v>10.2383475521207</v>
      </c>
    </row>
    <row r="18" spans="3:3" x14ac:dyDescent="0.35">
      <c r="C18">
        <f>AVERAGE(C2:C4)</f>
        <v>13.323452082148499</v>
      </c>
    </row>
    <row r="19" spans="3:3" x14ac:dyDescent="0.35">
      <c r="C19">
        <f>AVERAGE(C14:C16)</f>
        <v>13.7133496627388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"/>
  <sheetViews>
    <sheetView workbookViewId="0">
      <selection activeCell="D2" sqref="D2"/>
    </sheetView>
  </sheetViews>
  <sheetFormatPr defaultColWidth="11.453125" defaultRowHeight="14.5" x14ac:dyDescent="0.35"/>
  <sheetData>
    <row r="1" spans="1:10" x14ac:dyDescent="0.35">
      <c r="A1" t="s">
        <v>11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 x14ac:dyDescent="0.35">
      <c r="A2" t="s">
        <v>40</v>
      </c>
      <c r="B2">
        <v>9.4725053306989597</v>
      </c>
      <c r="C2">
        <v>7.6780497443159099</v>
      </c>
      <c r="D2">
        <v>1.79445558638305</v>
      </c>
      <c r="E2">
        <v>8.7444355843239894</v>
      </c>
      <c r="F2">
        <v>9.5400520598160394</v>
      </c>
      <c r="G2">
        <v>0.77366582392804795</v>
      </c>
      <c r="H2">
        <v>9.64075850960878</v>
      </c>
      <c r="I2">
        <v>10.6864828683951</v>
      </c>
      <c r="J2">
        <v>1.0457243587863401</v>
      </c>
    </row>
    <row r="3" spans="1:10" x14ac:dyDescent="0.35">
      <c r="A3" t="s">
        <v>41</v>
      </c>
      <c r="B3">
        <v>9.7447421820181699</v>
      </c>
      <c r="C3">
        <v>7.6686999254259298</v>
      </c>
      <c r="D3">
        <v>2.0760422565922401</v>
      </c>
      <c r="E3">
        <v>8.7444355843239894</v>
      </c>
      <c r="F3">
        <v>9.5400520598160394</v>
      </c>
      <c r="G3">
        <v>0.77366582392804795</v>
      </c>
      <c r="H3">
        <v>9.64075850960878</v>
      </c>
      <c r="I3">
        <v>10.6864828683951</v>
      </c>
      <c r="J3">
        <v>1.0457243587863401</v>
      </c>
    </row>
    <row r="4" spans="1:10" x14ac:dyDescent="0.35">
      <c r="A4" t="s">
        <v>42</v>
      </c>
      <c r="B4">
        <v>13.5676485466361</v>
      </c>
      <c r="C4">
        <v>11.7579006227947</v>
      </c>
      <c r="D4">
        <v>1.8097479238413801</v>
      </c>
      <c r="E4">
        <v>8.7444355843239894</v>
      </c>
      <c r="F4">
        <v>9.5400520598160394</v>
      </c>
      <c r="G4">
        <v>0.77366582392804795</v>
      </c>
      <c r="H4">
        <v>9.64075850960878</v>
      </c>
      <c r="I4">
        <v>10.6864828683951</v>
      </c>
      <c r="J4">
        <v>1.0457243587863401</v>
      </c>
    </row>
    <row r="5" spans="1:10" x14ac:dyDescent="0.35">
      <c r="A5" t="s">
        <v>43</v>
      </c>
      <c r="B5">
        <v>13.079692242535501</v>
      </c>
      <c r="C5">
        <v>14.654377880184301</v>
      </c>
      <c r="D5">
        <v>-1.57468563764886</v>
      </c>
      <c r="E5">
        <v>8.7444355843239894</v>
      </c>
      <c r="F5">
        <v>9.5400520598160394</v>
      </c>
      <c r="G5">
        <v>0.77366582392804795</v>
      </c>
      <c r="H5">
        <v>9.64075850960878</v>
      </c>
      <c r="I5">
        <v>10.6864828683951</v>
      </c>
      <c r="J5">
        <v>1.0457243587863401</v>
      </c>
    </row>
    <row r="6" spans="1:10" x14ac:dyDescent="0.35">
      <c r="A6" t="s">
        <v>44</v>
      </c>
      <c r="B6">
        <v>6.22026819961743</v>
      </c>
      <c r="C6">
        <v>5.1704840708318303</v>
      </c>
      <c r="D6">
        <v>1.0497841287856</v>
      </c>
      <c r="E6">
        <v>8.7444355843239894</v>
      </c>
      <c r="F6">
        <v>9.5400520598160394</v>
      </c>
      <c r="G6">
        <v>0.77366582392804795</v>
      </c>
      <c r="H6">
        <v>9.64075850960878</v>
      </c>
      <c r="I6">
        <v>10.6864828683951</v>
      </c>
      <c r="J6">
        <v>1.0457243587863401</v>
      </c>
    </row>
    <row r="7" spans="1:10" x14ac:dyDescent="0.35">
      <c r="A7" t="s">
        <v>45</v>
      </c>
      <c r="B7">
        <v>7.1395177987043299</v>
      </c>
      <c r="C7">
        <v>7.8322049648214502</v>
      </c>
      <c r="D7">
        <v>-0.692687166117117</v>
      </c>
      <c r="E7">
        <v>8.7444355843239894</v>
      </c>
      <c r="F7">
        <v>9.5400520598160394</v>
      </c>
      <c r="G7">
        <v>0.77366582392804795</v>
      </c>
      <c r="H7">
        <v>9.64075850960878</v>
      </c>
      <c r="I7">
        <v>10.6864828683951</v>
      </c>
      <c r="J7">
        <v>1.0457243587863401</v>
      </c>
    </row>
    <row r="8" spans="1:10" x14ac:dyDescent="0.35">
      <c r="A8" t="s">
        <v>46</v>
      </c>
      <c r="B8">
        <v>11.5132098934567</v>
      </c>
      <c r="C8">
        <v>11.0180691682262</v>
      </c>
      <c r="D8">
        <v>0.49514072523052699</v>
      </c>
      <c r="E8">
        <v>8.7444355843239894</v>
      </c>
      <c r="F8">
        <v>9.5400520598160394</v>
      </c>
      <c r="G8">
        <v>0.77366582392804795</v>
      </c>
      <c r="H8">
        <v>9.64075850960878</v>
      </c>
      <c r="I8">
        <v>10.6864828683951</v>
      </c>
      <c r="J8">
        <v>1.0457243587863401</v>
      </c>
    </row>
    <row r="9" spans="1:10" x14ac:dyDescent="0.35">
      <c r="A9" t="s">
        <v>47</v>
      </c>
      <c r="B9">
        <v>6.8993418923292698</v>
      </c>
      <c r="C9">
        <v>5.34405111018014</v>
      </c>
      <c r="D9">
        <v>1.55529078214913</v>
      </c>
      <c r="E9">
        <v>8.7444355843239894</v>
      </c>
      <c r="F9">
        <v>9.5400520598160394</v>
      </c>
      <c r="G9">
        <v>0.77366582392804795</v>
      </c>
      <c r="H9">
        <v>9.64075850960878</v>
      </c>
      <c r="I9">
        <v>10.6864828683951</v>
      </c>
      <c r="J9">
        <v>1.0457243587863401</v>
      </c>
    </row>
    <row r="10" spans="1:10" x14ac:dyDescent="0.35">
      <c r="A10" t="s">
        <v>0</v>
      </c>
      <c r="B10">
        <v>10.540318204890299</v>
      </c>
      <c r="C10">
        <v>14.271009612868299</v>
      </c>
      <c r="D10">
        <v>-3.7306914079779898</v>
      </c>
      <c r="E10">
        <v>8.7444355843239894</v>
      </c>
      <c r="F10">
        <v>9.5400520598160394</v>
      </c>
      <c r="G10">
        <v>0.77366582392804795</v>
      </c>
      <c r="H10">
        <v>9.64075850960878</v>
      </c>
      <c r="I10">
        <v>10.6864828683951</v>
      </c>
      <c r="J10">
        <v>1.0457243587863401</v>
      </c>
    </row>
    <row r="11" spans="1:10" x14ac:dyDescent="0.35">
      <c r="A11" t="s">
        <v>48</v>
      </c>
      <c r="B11">
        <v>1.7273416761471401</v>
      </c>
      <c r="C11">
        <v>3.3053653282415598</v>
      </c>
      <c r="D11">
        <v>-1.57802365209443</v>
      </c>
      <c r="E11">
        <v>8.7444355843239894</v>
      </c>
      <c r="F11">
        <v>9.5400520598160394</v>
      </c>
      <c r="G11">
        <v>0.77366582392804795</v>
      </c>
      <c r="H11">
        <v>9.64075850960878</v>
      </c>
      <c r="I11">
        <v>10.6864828683951</v>
      </c>
      <c r="J11">
        <v>1.0457243587863401</v>
      </c>
    </row>
    <row r="12" spans="1:10" x14ac:dyDescent="0.35">
      <c r="A12" t="s">
        <v>49</v>
      </c>
      <c r="B12">
        <v>4.4108858213197699</v>
      </c>
      <c r="C12">
        <v>5.55990007602911</v>
      </c>
      <c r="D12">
        <v>-1.14901425470934</v>
      </c>
      <c r="E12">
        <v>8.7444355843239894</v>
      </c>
      <c r="F12">
        <v>9.5400520598160394</v>
      </c>
      <c r="G12">
        <v>0.77366582392804795</v>
      </c>
      <c r="H12">
        <v>9.64075850960878</v>
      </c>
      <c r="I12">
        <v>10.6864828683951</v>
      </c>
      <c r="J12">
        <v>1.0457243587863401</v>
      </c>
    </row>
    <row r="13" spans="1:10" x14ac:dyDescent="0.35">
      <c r="A13" t="s">
        <v>50</v>
      </c>
      <c r="B13">
        <v>6.5895482617009904</v>
      </c>
      <c r="C13">
        <v>5.0728642485238096</v>
      </c>
      <c r="D13">
        <v>1.5166840131771899</v>
      </c>
      <c r="E13">
        <v>8.7444355843239894</v>
      </c>
      <c r="F13">
        <v>9.5400520598160394</v>
      </c>
      <c r="G13">
        <v>0.77366582392804795</v>
      </c>
      <c r="H13">
        <v>9.64075850960878</v>
      </c>
      <c r="I13">
        <v>10.6864828683951</v>
      </c>
      <c r="J13">
        <v>1.0457243587863401</v>
      </c>
    </row>
    <row r="14" spans="1:10" x14ac:dyDescent="0.35">
      <c r="A14" t="s">
        <v>51</v>
      </c>
      <c r="B14">
        <v>9.8987663162006392</v>
      </c>
      <c r="C14">
        <v>10.646832692629101</v>
      </c>
      <c r="D14">
        <v>-0.74806637642846996</v>
      </c>
      <c r="E14">
        <v>8.7444355843239894</v>
      </c>
      <c r="F14">
        <v>9.5400520598160394</v>
      </c>
      <c r="G14">
        <v>0.77366582392804795</v>
      </c>
      <c r="H14">
        <v>9.64075850960878</v>
      </c>
      <c r="I14">
        <v>10.6864828683951</v>
      </c>
      <c r="J14">
        <v>1.0457243587863401</v>
      </c>
    </row>
    <row r="15" spans="1:10" x14ac:dyDescent="0.35">
      <c r="A15" t="s">
        <v>52</v>
      </c>
      <c r="B15">
        <v>6.8034446785444</v>
      </c>
      <c r="C15">
        <v>6.37898686679174</v>
      </c>
      <c r="D15">
        <v>0.42445781175265401</v>
      </c>
      <c r="E15">
        <v>8.7444355843239894</v>
      </c>
      <c r="F15">
        <v>9.5400520598160394</v>
      </c>
      <c r="G15">
        <v>0.77366582392804795</v>
      </c>
      <c r="H15">
        <v>9.64075850960878</v>
      </c>
      <c r="I15">
        <v>10.6864828683951</v>
      </c>
      <c r="J15">
        <v>1.0457243587863401</v>
      </c>
    </row>
    <row r="16" spans="1:10" x14ac:dyDescent="0.35">
      <c r="A16" t="s">
        <v>53</v>
      </c>
      <c r="B16">
        <v>5.7189913675602</v>
      </c>
      <c r="C16">
        <v>3.1220966661625198</v>
      </c>
      <c r="D16">
        <v>2.5968947013976802</v>
      </c>
      <c r="E16">
        <v>8.7444355843239894</v>
      </c>
      <c r="F16">
        <v>9.5400520598160394</v>
      </c>
      <c r="G16">
        <v>0.77366582392804795</v>
      </c>
      <c r="H16">
        <v>9.64075850960878</v>
      </c>
      <c r="I16">
        <v>10.6864828683951</v>
      </c>
      <c r="J16">
        <v>1.0457243587863401</v>
      </c>
    </row>
    <row r="17" spans="1:10" x14ac:dyDescent="0.35">
      <c r="A17" t="s">
        <v>54</v>
      </c>
      <c r="B17">
        <v>9.0040670479337095</v>
      </c>
      <c r="C17">
        <v>8.6189792917751706</v>
      </c>
      <c r="D17">
        <v>0.38508775615853902</v>
      </c>
      <c r="E17">
        <v>8.7444355843239894</v>
      </c>
      <c r="F17">
        <v>9.5400520598160394</v>
      </c>
      <c r="G17">
        <v>0.77366582392804795</v>
      </c>
      <c r="H17">
        <v>9.64075850960878</v>
      </c>
      <c r="I17">
        <v>10.6864828683951</v>
      </c>
      <c r="J17">
        <v>1.0457243587863401</v>
      </c>
    </row>
    <row r="18" spans="1:10" x14ac:dyDescent="0.35">
      <c r="A18" t="s">
        <v>55</v>
      </c>
      <c r="B18">
        <v>9.2500513663447705</v>
      </c>
      <c r="C18">
        <v>7.6749211888098001</v>
      </c>
      <c r="D18">
        <v>1.57513017753497</v>
      </c>
      <c r="E18">
        <v>8.7444355843239894</v>
      </c>
      <c r="F18">
        <v>9.5400520598160394</v>
      </c>
      <c r="G18">
        <v>0.77366582392804795</v>
      </c>
      <c r="H18">
        <v>9.64075850960878</v>
      </c>
      <c r="I18">
        <v>10.6864828683951</v>
      </c>
      <c r="J18">
        <v>1.0457243587863401</v>
      </c>
    </row>
    <row r="19" spans="1:10" x14ac:dyDescent="0.35">
      <c r="A19" t="s">
        <v>56</v>
      </c>
      <c r="B19">
        <v>6.6110028077144696</v>
      </c>
      <c r="C19">
        <v>5.8239952558036103</v>
      </c>
      <c r="D19">
        <v>0.78700755191086003</v>
      </c>
      <c r="E19">
        <v>8.7444355843239894</v>
      </c>
      <c r="F19">
        <v>9.5400520598160394</v>
      </c>
      <c r="G19">
        <v>0.77366582392804795</v>
      </c>
      <c r="H19">
        <v>9.64075850960878</v>
      </c>
      <c r="I19">
        <v>10.6864828683951</v>
      </c>
      <c r="J19">
        <v>1.0457243587863401</v>
      </c>
    </row>
    <row r="20" spans="1:10" x14ac:dyDescent="0.35">
      <c r="A20" t="s">
        <v>1</v>
      </c>
      <c r="B20">
        <v>8.0158509454949893</v>
      </c>
      <c r="C20">
        <v>10.959558071336</v>
      </c>
      <c r="D20">
        <v>-2.9437071258410201</v>
      </c>
      <c r="E20">
        <v>8.7444355843239894</v>
      </c>
      <c r="F20">
        <v>9.5400520598160394</v>
      </c>
      <c r="G20">
        <v>0.77366582392804795</v>
      </c>
      <c r="H20">
        <v>9.64075850960878</v>
      </c>
      <c r="I20">
        <v>10.6864828683951</v>
      </c>
      <c r="J20">
        <v>1.0457243587863401</v>
      </c>
    </row>
    <row r="21" spans="1:10" x14ac:dyDescent="0.35">
      <c r="A21" t="s">
        <v>2</v>
      </c>
      <c r="B21">
        <v>10.886354185231401</v>
      </c>
      <c r="C21">
        <v>13.7642493330099</v>
      </c>
      <c r="D21">
        <v>-2.8778951477785499</v>
      </c>
      <c r="E21">
        <v>8.7444355843239894</v>
      </c>
      <c r="F21">
        <v>9.5400520598160394</v>
      </c>
      <c r="G21">
        <v>0.77366582392804795</v>
      </c>
      <c r="H21">
        <v>9.64075850960878</v>
      </c>
      <c r="I21">
        <v>10.6864828683951</v>
      </c>
      <c r="J21">
        <v>1.0457243587863401</v>
      </c>
    </row>
    <row r="22" spans="1:10" x14ac:dyDescent="0.35">
      <c r="A22" t="s">
        <v>57</v>
      </c>
      <c r="B22">
        <v>11.830048951926701</v>
      </c>
      <c r="C22">
        <v>9.7638967098383098</v>
      </c>
      <c r="D22">
        <v>2.06615224208839</v>
      </c>
      <c r="E22">
        <v>8.7444355843239894</v>
      </c>
      <c r="F22">
        <v>9.5400520598160394</v>
      </c>
      <c r="G22">
        <v>0.77366582392804795</v>
      </c>
      <c r="H22">
        <v>9.64075850960878</v>
      </c>
      <c r="I22">
        <v>10.6864828683951</v>
      </c>
      <c r="J22">
        <v>1.0457243587863401</v>
      </c>
    </row>
    <row r="23" spans="1:10" x14ac:dyDescent="0.35">
      <c r="A23" t="s">
        <v>58</v>
      </c>
      <c r="B23">
        <v>11.4888489421804</v>
      </c>
      <c r="C23">
        <v>12.1168742033533</v>
      </c>
      <c r="D23">
        <v>-0.62802526117283697</v>
      </c>
      <c r="E23">
        <v>8.7444355843239894</v>
      </c>
      <c r="F23">
        <v>9.5400520598160394</v>
      </c>
      <c r="G23">
        <v>0.77366582392804795</v>
      </c>
      <c r="H23">
        <v>9.64075850960878</v>
      </c>
      <c r="I23">
        <v>10.6864828683951</v>
      </c>
      <c r="J23">
        <v>1.0457243587863401</v>
      </c>
    </row>
    <row r="24" spans="1:10" x14ac:dyDescent="0.35">
      <c r="A24" t="s">
        <v>3</v>
      </c>
      <c r="B24">
        <v>4.11294460351876</v>
      </c>
      <c r="C24">
        <v>7.7930201645482704</v>
      </c>
      <c r="D24">
        <v>-3.6800755610295099</v>
      </c>
      <c r="E24">
        <v>8.7444355843239894</v>
      </c>
      <c r="F24">
        <v>9.5400520598160394</v>
      </c>
      <c r="G24">
        <v>0.77366582392804795</v>
      </c>
      <c r="H24">
        <v>9.64075850960878</v>
      </c>
      <c r="I24">
        <v>10.6864828683951</v>
      </c>
      <c r="J24">
        <v>1.0457243587863401</v>
      </c>
    </row>
    <row r="25" spans="1:10" x14ac:dyDescent="0.35">
      <c r="A25" t="s">
        <v>59</v>
      </c>
      <c r="B25">
        <v>6.8377889927027198</v>
      </c>
      <c r="C25">
        <v>5.7132331742319904</v>
      </c>
      <c r="D25">
        <v>1.1245558184707301</v>
      </c>
      <c r="E25">
        <v>8.7444355843239894</v>
      </c>
      <c r="F25">
        <v>9.5400520598160394</v>
      </c>
      <c r="G25">
        <v>0.77366582392804795</v>
      </c>
      <c r="H25">
        <v>9.64075850960878</v>
      </c>
      <c r="I25">
        <v>10.6864828683951</v>
      </c>
      <c r="J25">
        <v>1.0457243587863401</v>
      </c>
    </row>
    <row r="26" spans="1:10" x14ac:dyDescent="0.35">
      <c r="A26" t="s">
        <v>60</v>
      </c>
      <c r="B26">
        <v>7.8214987183328404</v>
      </c>
      <c r="C26">
        <v>7.3646071092241199</v>
      </c>
      <c r="D26">
        <v>0.45689160910872001</v>
      </c>
      <c r="E26">
        <v>8.7444355843239894</v>
      </c>
      <c r="F26">
        <v>9.5400520598160394</v>
      </c>
      <c r="G26">
        <v>0.77366582392804795</v>
      </c>
      <c r="H26">
        <v>9.64075850960878</v>
      </c>
      <c r="I26">
        <v>10.6864828683951</v>
      </c>
      <c r="J26">
        <v>1.0457243587863401</v>
      </c>
    </row>
    <row r="27" spans="1:10" x14ac:dyDescent="0.35">
      <c r="A27" t="s">
        <v>61</v>
      </c>
      <c r="B27">
        <v>12.0573810189701</v>
      </c>
      <c r="C27">
        <v>12.6792668500871</v>
      </c>
      <c r="D27">
        <v>-0.62188583111694096</v>
      </c>
      <c r="E27">
        <v>8.7444355843239894</v>
      </c>
      <c r="F27">
        <v>9.5400520598160394</v>
      </c>
      <c r="G27">
        <v>0.77366582392804795</v>
      </c>
      <c r="H27">
        <v>9.64075850960878</v>
      </c>
      <c r="I27">
        <v>10.6864828683951</v>
      </c>
      <c r="J27">
        <v>1.0457243587863401</v>
      </c>
    </row>
    <row r="28" spans="1:10" x14ac:dyDescent="0.35">
      <c r="A28" t="s">
        <v>62</v>
      </c>
      <c r="B28">
        <v>5.5757575757575797</v>
      </c>
      <c r="C28">
        <v>3.7584345479082302</v>
      </c>
      <c r="D28">
        <v>1.81732302784934</v>
      </c>
      <c r="E28">
        <v>8.7444355843239894</v>
      </c>
      <c r="F28">
        <v>9.5400520598160394</v>
      </c>
      <c r="G28">
        <v>0.77366582392804795</v>
      </c>
      <c r="H28">
        <v>9.64075850960878</v>
      </c>
      <c r="I28">
        <v>10.6864828683951</v>
      </c>
      <c r="J28">
        <v>1.0457243587863401</v>
      </c>
    </row>
    <row r="29" spans="1:10" x14ac:dyDescent="0.35">
      <c r="A29" t="s">
        <v>63</v>
      </c>
      <c r="B29">
        <v>34.661743189577102</v>
      </c>
      <c r="C29">
        <v>29.544592030360501</v>
      </c>
      <c r="D29">
        <v>5.1171511592165597</v>
      </c>
      <c r="E29">
        <v>8.7444355843239894</v>
      </c>
      <c r="F29">
        <v>9.5400520598160394</v>
      </c>
      <c r="G29">
        <v>0.77366582392804795</v>
      </c>
      <c r="H29">
        <v>9.64075850960878</v>
      </c>
      <c r="I29">
        <v>10.6864828683951</v>
      </c>
      <c r="J29">
        <v>1.0457243587863401</v>
      </c>
    </row>
    <row r="30" spans="1:10" x14ac:dyDescent="0.35">
      <c r="A30" t="s">
        <v>64</v>
      </c>
      <c r="B30">
        <v>9.5263169944366908</v>
      </c>
      <c r="C30">
        <v>11.00996572155</v>
      </c>
      <c r="D30">
        <v>-1.4836487271133401</v>
      </c>
      <c r="E30">
        <v>8.7444355843239894</v>
      </c>
      <c r="F30">
        <v>9.5400520598160394</v>
      </c>
      <c r="G30">
        <v>0.77366582392804795</v>
      </c>
      <c r="H30">
        <v>9.64075850960878</v>
      </c>
      <c r="I30">
        <v>10.6864828683951</v>
      </c>
      <c r="J30">
        <v>1.0457243587863401</v>
      </c>
    </row>
    <row r="31" spans="1:10" x14ac:dyDescent="0.35">
      <c r="A31" t="s">
        <v>65</v>
      </c>
      <c r="B31">
        <v>8.41267585618872</v>
      </c>
      <c r="C31">
        <v>6.22751290116984</v>
      </c>
      <c r="D31">
        <v>2.1851629550188698</v>
      </c>
      <c r="E31">
        <v>8.7444355843239894</v>
      </c>
      <c r="F31">
        <v>9.5400520598160394</v>
      </c>
      <c r="G31">
        <v>0.77366582392804795</v>
      </c>
      <c r="H31">
        <v>9.64075850960878</v>
      </c>
      <c r="I31">
        <v>10.6864828683951</v>
      </c>
      <c r="J31">
        <v>1.0457243587863401</v>
      </c>
    </row>
    <row r="32" spans="1:10" x14ac:dyDescent="0.35">
      <c r="A32" t="s">
        <v>66</v>
      </c>
      <c r="B32">
        <v>4.5888075138368603</v>
      </c>
      <c r="C32">
        <v>5.7340287698083099</v>
      </c>
      <c r="D32">
        <v>-1.1452212559714501</v>
      </c>
      <c r="E32">
        <v>8.7444355843239894</v>
      </c>
      <c r="F32">
        <v>9.5400520598160394</v>
      </c>
      <c r="G32">
        <v>0.77366582392804795</v>
      </c>
      <c r="H32">
        <v>9.64075850960878</v>
      </c>
      <c r="I32">
        <v>10.6864828683951</v>
      </c>
      <c r="J32">
        <v>1.0457243587863401</v>
      </c>
    </row>
    <row r="33" spans="1:10" x14ac:dyDescent="0.35">
      <c r="A33" t="s">
        <v>67</v>
      </c>
      <c r="B33">
        <v>14.9622512010981</v>
      </c>
      <c r="C33">
        <v>14.201927105152899</v>
      </c>
      <c r="D33">
        <v>0.76032409594523598</v>
      </c>
      <c r="E33">
        <v>8.7444355843239894</v>
      </c>
      <c r="F33">
        <v>9.5400520598160394</v>
      </c>
      <c r="G33">
        <v>0.77366582392804795</v>
      </c>
      <c r="H33">
        <v>9.64075850960878</v>
      </c>
      <c r="I33">
        <v>10.6864828683951</v>
      </c>
      <c r="J33">
        <v>1.0457243587863401</v>
      </c>
    </row>
    <row r="34" spans="1:10" x14ac:dyDescent="0.35">
      <c r="A34" t="s">
        <v>68</v>
      </c>
      <c r="B34">
        <v>8.5997716243220097</v>
      </c>
      <c r="C34">
        <v>9.3472186944373892</v>
      </c>
      <c r="D34">
        <v>-0.74744707011537903</v>
      </c>
      <c r="E34">
        <v>8.7444355843239894</v>
      </c>
      <c r="F34">
        <v>9.5400520598160394</v>
      </c>
      <c r="G34">
        <v>0.77366582392804795</v>
      </c>
      <c r="H34">
        <v>9.64075850960878</v>
      </c>
      <c r="I34">
        <v>10.6864828683951</v>
      </c>
      <c r="J34">
        <v>1.0457243587863401</v>
      </c>
    </row>
    <row r="35" spans="1:10" x14ac:dyDescent="0.35">
      <c r="A35" t="s">
        <v>69</v>
      </c>
      <c r="B35">
        <v>9.3594100928189494</v>
      </c>
      <c r="C35">
        <v>9.2537465074930108</v>
      </c>
      <c r="D35">
        <v>0.10566358532594</v>
      </c>
      <c r="E35">
        <v>8.7444355843239894</v>
      </c>
      <c r="F35">
        <v>9.5400520598160394</v>
      </c>
      <c r="G35">
        <v>0.77366582392804795</v>
      </c>
      <c r="H35">
        <v>9.64075850960878</v>
      </c>
      <c r="I35">
        <v>10.6864828683951</v>
      </c>
      <c r="J35">
        <v>1.0457243587863401</v>
      </c>
    </row>
    <row r="36" spans="1:10" x14ac:dyDescent="0.35">
      <c r="A36" t="s">
        <v>70</v>
      </c>
      <c r="B36">
        <v>20.291642327080801</v>
      </c>
      <c r="C36">
        <v>17.616076150185101</v>
      </c>
      <c r="D36">
        <v>2.6755661768956802</v>
      </c>
      <c r="E36">
        <v>8.7444355843239894</v>
      </c>
      <c r="F36">
        <v>9.5400520598160394</v>
      </c>
      <c r="G36">
        <v>0.77366582392804795</v>
      </c>
      <c r="H36">
        <v>9.64075850960878</v>
      </c>
      <c r="I36">
        <v>10.6864828683951</v>
      </c>
      <c r="J36">
        <v>1.0457243587863401</v>
      </c>
    </row>
    <row r="37" spans="1:10" x14ac:dyDescent="0.35">
      <c r="A37" t="s">
        <v>71</v>
      </c>
      <c r="B37">
        <v>10.1393463876538</v>
      </c>
      <c r="C37">
        <v>6.6523297491039397</v>
      </c>
      <c r="D37">
        <v>3.48701663854983</v>
      </c>
      <c r="E37">
        <v>8.7444355843239894</v>
      </c>
      <c r="F37">
        <v>9.5400520598160394</v>
      </c>
      <c r="G37">
        <v>0.77366582392804795</v>
      </c>
      <c r="H37">
        <v>9.64075850960878</v>
      </c>
      <c r="I37">
        <v>10.6864828683951</v>
      </c>
      <c r="J37">
        <v>1.0457243587863401</v>
      </c>
    </row>
    <row r="38" spans="1:10" x14ac:dyDescent="0.35">
      <c r="A38" t="s">
        <v>72</v>
      </c>
      <c r="B38">
        <v>16.5001256305688</v>
      </c>
      <c r="C38">
        <v>15.468163359129599</v>
      </c>
      <c r="D38">
        <v>1.03196227143924</v>
      </c>
      <c r="E38">
        <v>8.7444355843239894</v>
      </c>
      <c r="F38">
        <v>9.5400520598160394</v>
      </c>
      <c r="G38">
        <v>0.77366582392804795</v>
      </c>
      <c r="H38">
        <v>9.64075850960878</v>
      </c>
      <c r="I38">
        <v>10.6864828683951</v>
      </c>
      <c r="J38">
        <v>1.0457243587863401</v>
      </c>
    </row>
    <row r="39" spans="1:10" x14ac:dyDescent="0.35">
      <c r="A39" t="s">
        <v>73</v>
      </c>
      <c r="B39">
        <v>9.5016379629696903</v>
      </c>
      <c r="C39">
        <v>8.7482229485131402</v>
      </c>
      <c r="D39">
        <v>0.75341501445654702</v>
      </c>
      <c r="E39">
        <v>8.7444355843239894</v>
      </c>
      <c r="F39">
        <v>9.5400520598160394</v>
      </c>
      <c r="G39">
        <v>0.77366582392804795</v>
      </c>
      <c r="H39">
        <v>9.64075850960878</v>
      </c>
      <c r="I39">
        <v>10.6864828683951</v>
      </c>
      <c r="J39">
        <v>1.0457243587863401</v>
      </c>
    </row>
    <row r="40" spans="1:10" x14ac:dyDescent="0.35">
      <c r="A40" t="s">
        <v>74</v>
      </c>
      <c r="B40">
        <v>14.6587874541818</v>
      </c>
      <c r="C40">
        <v>10.7740190232409</v>
      </c>
      <c r="D40">
        <v>3.8847684309408401</v>
      </c>
      <c r="E40">
        <v>8.7444355843239894</v>
      </c>
      <c r="F40">
        <v>9.5400520598160394</v>
      </c>
      <c r="G40">
        <v>0.77366582392804795</v>
      </c>
      <c r="H40">
        <v>9.64075850960878</v>
      </c>
      <c r="I40">
        <v>10.6864828683951</v>
      </c>
      <c r="J40">
        <v>1.0457243587863401</v>
      </c>
    </row>
    <row r="41" spans="1:10" x14ac:dyDescent="0.35">
      <c r="A41" t="s">
        <v>75</v>
      </c>
      <c r="B41">
        <v>13.830268314742201</v>
      </c>
      <c r="C41">
        <v>7.9845220820776097</v>
      </c>
      <c r="D41">
        <v>5.8457462326646201</v>
      </c>
      <c r="E41">
        <v>8.7444355843239894</v>
      </c>
      <c r="F41">
        <v>9.5400520598160394</v>
      </c>
      <c r="G41">
        <v>0.77366582392804795</v>
      </c>
      <c r="H41">
        <v>9.64075850960878</v>
      </c>
      <c r="I41">
        <v>10.6864828683951</v>
      </c>
      <c r="J41">
        <v>1.0457243587863401</v>
      </c>
    </row>
    <row r="42" spans="1:10" x14ac:dyDescent="0.35">
      <c r="A42" t="s">
        <v>76</v>
      </c>
      <c r="B42">
        <v>6.6417519013899797</v>
      </c>
      <c r="C42">
        <v>8.2833186722638494</v>
      </c>
      <c r="D42">
        <v>-1.6415667708738699</v>
      </c>
      <c r="E42">
        <v>8.7444355843239894</v>
      </c>
      <c r="F42">
        <v>9.5400520598160394</v>
      </c>
      <c r="G42">
        <v>0.77366582392804795</v>
      </c>
      <c r="H42">
        <v>9.64075850960878</v>
      </c>
      <c r="I42">
        <v>10.6864828683951</v>
      </c>
      <c r="J42">
        <v>1.0457243587863401</v>
      </c>
    </row>
    <row r="43" spans="1:10" x14ac:dyDescent="0.35">
      <c r="A43" t="s">
        <v>77</v>
      </c>
      <c r="B43">
        <v>6.8737030748915302</v>
      </c>
      <c r="C43">
        <v>3.5965368356805398</v>
      </c>
      <c r="D43">
        <v>3.2771662392109899</v>
      </c>
      <c r="E43">
        <v>8.7444355843239894</v>
      </c>
      <c r="F43">
        <v>9.5400520598160394</v>
      </c>
      <c r="G43">
        <v>0.77366582392804795</v>
      </c>
      <c r="H43">
        <v>9.64075850960878</v>
      </c>
      <c r="I43">
        <v>10.6864828683951</v>
      </c>
      <c r="J43">
        <v>1.0457243587863401</v>
      </c>
    </row>
    <row r="44" spans="1:10" x14ac:dyDescent="0.35">
      <c r="A44" t="s">
        <v>78</v>
      </c>
      <c r="B44">
        <v>5.5154707044107996</v>
      </c>
      <c r="C44">
        <v>7.6868109432421399</v>
      </c>
      <c r="D44">
        <v>-2.1713402388313399</v>
      </c>
      <c r="E44">
        <v>8.7444355843239894</v>
      </c>
      <c r="F44">
        <v>9.5400520598160394</v>
      </c>
      <c r="G44">
        <v>0.77366582392804795</v>
      </c>
      <c r="H44">
        <v>9.64075850960878</v>
      </c>
      <c r="I44">
        <v>10.6864828683951</v>
      </c>
      <c r="J44">
        <v>1.0457243587863401</v>
      </c>
    </row>
    <row r="45" spans="1:10" x14ac:dyDescent="0.35">
      <c r="A45" t="s">
        <v>4</v>
      </c>
      <c r="B45">
        <v>3.2466685790283498</v>
      </c>
      <c r="C45">
        <v>10.570061736643799</v>
      </c>
      <c r="D45">
        <v>-7.3233931576154196</v>
      </c>
      <c r="E45">
        <v>8.7444355843239894</v>
      </c>
      <c r="F45">
        <v>9.5400520598160394</v>
      </c>
      <c r="G45">
        <v>0.77366582392804795</v>
      </c>
      <c r="H45">
        <v>9.64075850960878</v>
      </c>
      <c r="I45">
        <v>10.6864828683951</v>
      </c>
      <c r="J45">
        <v>1.0457243587863401</v>
      </c>
    </row>
    <row r="46" spans="1:10" x14ac:dyDescent="0.35">
      <c r="A46" t="s">
        <v>79</v>
      </c>
      <c r="B46">
        <v>4.2526881720430101</v>
      </c>
      <c r="C46">
        <v>3.55101580983139</v>
      </c>
      <c r="D46">
        <v>0.70167236221162399</v>
      </c>
      <c r="E46">
        <v>8.7444355843239894</v>
      </c>
      <c r="F46">
        <v>9.5400520598160394</v>
      </c>
      <c r="G46">
        <v>0.77366582392804795</v>
      </c>
      <c r="H46">
        <v>9.64075850960878</v>
      </c>
      <c r="I46">
        <v>10.6864828683951</v>
      </c>
      <c r="J46">
        <v>1.0457243587863401</v>
      </c>
    </row>
    <row r="47" spans="1:10" x14ac:dyDescent="0.35">
      <c r="A47" t="s">
        <v>80</v>
      </c>
      <c r="B47">
        <v>8.6103408333040807</v>
      </c>
      <c r="C47">
        <v>7.1144241240752599</v>
      </c>
      <c r="D47">
        <v>1.4959167092288299</v>
      </c>
      <c r="E47">
        <v>8.7444355843239894</v>
      </c>
      <c r="F47">
        <v>9.5400520598160394</v>
      </c>
      <c r="G47">
        <v>0.77366582392804795</v>
      </c>
      <c r="H47">
        <v>9.64075850960878</v>
      </c>
      <c r="I47">
        <v>10.6864828683951</v>
      </c>
      <c r="J47">
        <v>1.0457243587863401</v>
      </c>
    </row>
    <row r="48" spans="1:10" x14ac:dyDescent="0.35">
      <c r="A48" t="s">
        <v>81</v>
      </c>
      <c r="B48">
        <v>19.3139512363081</v>
      </c>
      <c r="C48">
        <v>14.2210020590254</v>
      </c>
      <c r="D48">
        <v>5.09294917728268</v>
      </c>
      <c r="E48">
        <v>8.7444355843239894</v>
      </c>
      <c r="F48">
        <v>9.5400520598160394</v>
      </c>
      <c r="G48">
        <v>0.77366582392804795</v>
      </c>
      <c r="H48">
        <v>9.64075850960878</v>
      </c>
      <c r="I48">
        <v>10.6864828683951</v>
      </c>
      <c r="J48">
        <v>1.0457243587863401</v>
      </c>
    </row>
    <row r="49" spans="1:10" x14ac:dyDescent="0.35">
      <c r="A49" t="s">
        <v>5</v>
      </c>
      <c r="B49">
        <v>7.42700497258702</v>
      </c>
      <c r="C49">
        <v>10.048599424356301</v>
      </c>
      <c r="D49">
        <v>-2.6215944517693099</v>
      </c>
      <c r="E49">
        <v>8.7444355843239894</v>
      </c>
      <c r="F49">
        <v>9.5400520598160394</v>
      </c>
      <c r="G49">
        <v>0.77366582392804795</v>
      </c>
      <c r="H49">
        <v>9.64075850960878</v>
      </c>
      <c r="I49">
        <v>10.6864828683951</v>
      </c>
      <c r="J49">
        <v>1.0457243587863401</v>
      </c>
    </row>
    <row r="50" spans="1:10" x14ac:dyDescent="0.35">
      <c r="A50" t="s">
        <v>82</v>
      </c>
      <c r="B50">
        <v>7.8073866292660101</v>
      </c>
      <c r="C50">
        <v>7.4010592200288903</v>
      </c>
      <c r="D50">
        <v>0.40632740923712402</v>
      </c>
      <c r="E50">
        <v>8.7444355843239894</v>
      </c>
      <c r="F50">
        <v>9.5400520598160394</v>
      </c>
      <c r="G50">
        <v>0.77366582392804795</v>
      </c>
      <c r="H50">
        <v>9.64075850960878</v>
      </c>
      <c r="I50">
        <v>10.6864828683951</v>
      </c>
      <c r="J50">
        <v>1.0457243587863401</v>
      </c>
    </row>
    <row r="51" spans="1:10" x14ac:dyDescent="0.35">
      <c r="A51" t="s">
        <v>83</v>
      </c>
      <c r="B51">
        <v>12.3316408744033</v>
      </c>
      <c r="C51">
        <v>2.8269648959304101</v>
      </c>
      <c r="D51">
        <v>9.5046759784729193</v>
      </c>
      <c r="E51">
        <v>8.7444355843239894</v>
      </c>
      <c r="F51">
        <v>9.5400520598160394</v>
      </c>
      <c r="G51">
        <v>0.77366582392804795</v>
      </c>
      <c r="H51">
        <v>9.64075850960878</v>
      </c>
      <c r="I51">
        <v>10.6864828683951</v>
      </c>
      <c r="J51">
        <v>1.0457243587863401</v>
      </c>
    </row>
    <row r="52" spans="1:10" x14ac:dyDescent="0.35">
      <c r="A52" t="s">
        <v>6</v>
      </c>
      <c r="B52">
        <v>11.4884731750969</v>
      </c>
      <c r="C52">
        <v>14.8450116192052</v>
      </c>
      <c r="D52">
        <v>-3.35653844410822</v>
      </c>
      <c r="E52">
        <v>8.7444355843239894</v>
      </c>
      <c r="F52">
        <v>9.5400520598160394</v>
      </c>
      <c r="G52">
        <v>0.77366582392804795</v>
      </c>
      <c r="H52">
        <v>9.64075850960878</v>
      </c>
      <c r="I52">
        <v>10.6864828683951</v>
      </c>
      <c r="J52">
        <v>1.0457243587863401</v>
      </c>
    </row>
    <row r="53" spans="1:10" x14ac:dyDescent="0.35">
      <c r="A53" t="s">
        <v>84</v>
      </c>
      <c r="B53">
        <v>7.3953050661368804</v>
      </c>
      <c r="C53">
        <v>7.3830807099365199</v>
      </c>
      <c r="D53">
        <v>1.22243562003552E-2</v>
      </c>
      <c r="E53">
        <v>8.7444355843239894</v>
      </c>
      <c r="F53">
        <v>9.5400520598160394</v>
      </c>
      <c r="G53">
        <v>0.77366582392804795</v>
      </c>
      <c r="H53">
        <v>9.64075850960878</v>
      </c>
      <c r="I53">
        <v>10.6864828683951</v>
      </c>
      <c r="J53">
        <v>1.0457243587863401</v>
      </c>
    </row>
    <row r="54" spans="1:10" x14ac:dyDescent="0.35">
      <c r="A54" t="s">
        <v>85</v>
      </c>
      <c r="B54">
        <v>13.6891937001184</v>
      </c>
      <c r="C54">
        <v>13.177270776240601</v>
      </c>
      <c r="D54">
        <v>0.51192292387771898</v>
      </c>
      <c r="E54">
        <v>8.7444355843239894</v>
      </c>
      <c r="F54">
        <v>9.5400520598160394</v>
      </c>
      <c r="G54">
        <v>0.77366582392804795</v>
      </c>
      <c r="H54">
        <v>9.64075850960878</v>
      </c>
      <c r="I54">
        <v>10.6864828683951</v>
      </c>
      <c r="J54">
        <v>1.0457243587863401</v>
      </c>
    </row>
    <row r="55" spans="1:10" x14ac:dyDescent="0.35">
      <c r="A55" t="s">
        <v>86</v>
      </c>
      <c r="B55">
        <v>30.7720188474085</v>
      </c>
      <c r="C55">
        <v>27.3078768379759</v>
      </c>
      <c r="D55">
        <v>3.4641420094325901</v>
      </c>
      <c r="E55">
        <v>8.7444355843239894</v>
      </c>
      <c r="F55">
        <v>9.5400520598160394</v>
      </c>
      <c r="G55">
        <v>0.77366582392804795</v>
      </c>
      <c r="H55">
        <v>9.64075850960878</v>
      </c>
      <c r="I55">
        <v>10.6864828683951</v>
      </c>
      <c r="J55">
        <v>1.0457243587863401</v>
      </c>
    </row>
    <row r="56" spans="1:10" x14ac:dyDescent="0.35">
      <c r="A56" t="s">
        <v>87</v>
      </c>
      <c r="B56">
        <v>8.8047038670324191</v>
      </c>
      <c r="C56">
        <v>11.3035430988895</v>
      </c>
      <c r="D56">
        <v>-2.49883923185706</v>
      </c>
      <c r="E56">
        <v>8.7444355843239894</v>
      </c>
      <c r="F56">
        <v>9.5400520598160394</v>
      </c>
      <c r="G56">
        <v>0.77366582392804795</v>
      </c>
      <c r="H56">
        <v>9.64075850960878</v>
      </c>
      <c r="I56">
        <v>10.6864828683951</v>
      </c>
      <c r="J56">
        <v>1.0457243587863401</v>
      </c>
    </row>
    <row r="57" spans="1:10" x14ac:dyDescent="0.35">
      <c r="A57" t="s">
        <v>88</v>
      </c>
      <c r="B57">
        <v>10.0219972990658</v>
      </c>
      <c r="C57">
        <v>9.9169560205159399</v>
      </c>
      <c r="D57">
        <v>0.10504127854987499</v>
      </c>
      <c r="E57">
        <v>8.7444355843239894</v>
      </c>
      <c r="F57">
        <v>9.5400520598160394</v>
      </c>
      <c r="G57">
        <v>0.77366582392804795</v>
      </c>
      <c r="H57">
        <v>9.64075850960878</v>
      </c>
      <c r="I57">
        <v>10.6864828683951</v>
      </c>
      <c r="J57">
        <v>1.0457243587863401</v>
      </c>
    </row>
    <row r="58" spans="1:10" x14ac:dyDescent="0.35">
      <c r="A58" t="s">
        <v>89</v>
      </c>
      <c r="B58">
        <v>12.4350230414747</v>
      </c>
      <c r="C58">
        <v>2.4344672198714101</v>
      </c>
      <c r="D58">
        <v>10.0005558216032</v>
      </c>
      <c r="E58">
        <v>8.7444355843239894</v>
      </c>
      <c r="F58">
        <v>9.5400520598160394</v>
      </c>
      <c r="G58">
        <v>0.77366582392804795</v>
      </c>
      <c r="H58">
        <v>9.64075850960878</v>
      </c>
      <c r="I58">
        <v>10.6864828683951</v>
      </c>
      <c r="J58">
        <v>1.0457243587863401</v>
      </c>
    </row>
    <row r="59" spans="1:10" x14ac:dyDescent="0.35">
      <c r="A59" t="s">
        <v>90</v>
      </c>
      <c r="B59">
        <v>6.4987049682128601</v>
      </c>
      <c r="C59">
        <v>4.4481135562729497</v>
      </c>
      <c r="D59">
        <v>2.05059141193991</v>
      </c>
      <c r="E59">
        <v>8.7444355843239894</v>
      </c>
      <c r="F59">
        <v>9.5400520598160394</v>
      </c>
      <c r="G59">
        <v>0.77366582392804795</v>
      </c>
      <c r="H59">
        <v>9.64075850960878</v>
      </c>
      <c r="I59">
        <v>10.6864828683951</v>
      </c>
      <c r="J59">
        <v>1.0457243587863401</v>
      </c>
    </row>
    <row r="60" spans="1:10" x14ac:dyDescent="0.35">
      <c r="A60" t="s">
        <v>91</v>
      </c>
      <c r="B60">
        <v>11.073476702509</v>
      </c>
      <c r="C60">
        <v>10.4331355457199</v>
      </c>
      <c r="D60">
        <v>0.64034115678909698</v>
      </c>
      <c r="E60">
        <v>8.7444355843239894</v>
      </c>
      <c r="F60">
        <v>9.5400520598160394</v>
      </c>
      <c r="G60">
        <v>0.77366582392804795</v>
      </c>
      <c r="H60">
        <v>9.64075850960878</v>
      </c>
      <c r="I60">
        <v>10.6864828683951</v>
      </c>
      <c r="J60">
        <v>1.0457243587863401</v>
      </c>
    </row>
    <row r="61" spans="1:10" x14ac:dyDescent="0.35">
      <c r="A61" t="s">
        <v>92</v>
      </c>
      <c r="B61">
        <v>18.0562672632513</v>
      </c>
      <c r="C61">
        <v>8.7406482201348403</v>
      </c>
      <c r="D61">
        <v>9.3156190431164596</v>
      </c>
      <c r="E61">
        <v>8.7444355843239894</v>
      </c>
      <c r="F61">
        <v>9.5400520598160394</v>
      </c>
      <c r="G61">
        <v>0.77366582392804795</v>
      </c>
      <c r="H61">
        <v>9.64075850960878</v>
      </c>
      <c r="I61">
        <v>10.6864828683951</v>
      </c>
      <c r="J61">
        <v>1.0457243587863401</v>
      </c>
    </row>
    <row r="62" spans="1:10" x14ac:dyDescent="0.35">
      <c r="A62" t="s">
        <v>93</v>
      </c>
      <c r="B62">
        <v>10.8890831082155</v>
      </c>
      <c r="C62">
        <v>7.9077461673110596</v>
      </c>
      <c r="D62">
        <v>2.9813369409044199</v>
      </c>
      <c r="E62">
        <v>8.7444355843239894</v>
      </c>
      <c r="F62">
        <v>9.5400520598160394</v>
      </c>
      <c r="G62">
        <v>0.77366582392804795</v>
      </c>
      <c r="H62">
        <v>9.64075850960878</v>
      </c>
      <c r="I62">
        <v>10.6864828683951</v>
      </c>
      <c r="J62">
        <v>1.0457243587863401</v>
      </c>
    </row>
    <row r="63" spans="1:10" x14ac:dyDescent="0.35">
      <c r="A63" t="s">
        <v>94</v>
      </c>
      <c r="B63">
        <v>7.33940454196164</v>
      </c>
      <c r="C63">
        <v>5.7190791003621104</v>
      </c>
      <c r="D63">
        <v>1.6203254415995301</v>
      </c>
      <c r="E63">
        <v>8.7444355843239894</v>
      </c>
      <c r="F63">
        <v>9.5400520598160394</v>
      </c>
      <c r="G63">
        <v>0.77366582392804795</v>
      </c>
      <c r="H63">
        <v>9.64075850960878</v>
      </c>
      <c r="I63">
        <v>10.6864828683951</v>
      </c>
      <c r="J63">
        <v>1.0457243587863401</v>
      </c>
    </row>
    <row r="64" spans="1:10" x14ac:dyDescent="0.35">
      <c r="A64" t="s">
        <v>95</v>
      </c>
      <c r="B64">
        <v>13.0785810835495</v>
      </c>
      <c r="C64">
        <v>5.2099882572356204</v>
      </c>
      <c r="D64">
        <v>7.8685928263138702</v>
      </c>
      <c r="E64">
        <v>8.7444355843239894</v>
      </c>
      <c r="F64">
        <v>9.5400520598160394</v>
      </c>
      <c r="G64">
        <v>0.77366582392804795</v>
      </c>
      <c r="H64">
        <v>9.64075850960878</v>
      </c>
      <c r="I64">
        <v>10.6864828683951</v>
      </c>
      <c r="J64">
        <v>1.0457243587863401</v>
      </c>
    </row>
    <row r="65" spans="1:10" x14ac:dyDescent="0.35">
      <c r="A65" t="s">
        <v>96</v>
      </c>
      <c r="B65">
        <v>16.768467264745201</v>
      </c>
      <c r="C65">
        <v>13.2244099986035</v>
      </c>
      <c r="D65">
        <v>3.5440572661416301</v>
      </c>
      <c r="E65">
        <v>8.7444355843239894</v>
      </c>
      <c r="F65">
        <v>9.5400520598160394</v>
      </c>
      <c r="G65">
        <v>0.77366582392804795</v>
      </c>
      <c r="H65">
        <v>9.64075850960878</v>
      </c>
      <c r="I65">
        <v>10.6864828683951</v>
      </c>
      <c r="J65">
        <v>1.0457243587863401</v>
      </c>
    </row>
    <row r="66" spans="1:10" x14ac:dyDescent="0.35">
      <c r="A66" t="s">
        <v>97</v>
      </c>
      <c r="B66">
        <v>12.350186400468299</v>
      </c>
      <c r="C66">
        <v>8.33805838633055</v>
      </c>
      <c r="D66">
        <v>4.01212801413776</v>
      </c>
      <c r="E66">
        <v>8.7444355843239894</v>
      </c>
      <c r="F66">
        <v>9.5400520598160394</v>
      </c>
      <c r="G66">
        <v>0.77366582392804795</v>
      </c>
      <c r="H66">
        <v>9.64075850960878</v>
      </c>
      <c r="I66">
        <v>10.6864828683951</v>
      </c>
      <c r="J66">
        <v>1.0457243587863401</v>
      </c>
    </row>
    <row r="67" spans="1:10" x14ac:dyDescent="0.35">
      <c r="A67" t="s">
        <v>98</v>
      </c>
      <c r="B67">
        <v>38.5946343932631</v>
      </c>
      <c r="C67">
        <v>28.2062237413658</v>
      </c>
      <c r="D67">
        <v>10.388410651897299</v>
      </c>
      <c r="E67">
        <v>8.7444355843239894</v>
      </c>
      <c r="F67">
        <v>9.5400520598160394</v>
      </c>
      <c r="G67">
        <v>0.77366582392804795</v>
      </c>
      <c r="H67">
        <v>9.64075850960878</v>
      </c>
      <c r="I67">
        <v>10.6864828683951</v>
      </c>
      <c r="J67">
        <v>1.0457243587863401</v>
      </c>
    </row>
    <row r="68" spans="1:10" x14ac:dyDescent="0.35">
      <c r="A68" t="s">
        <v>99</v>
      </c>
      <c r="B68">
        <v>3.09139784946237</v>
      </c>
      <c r="C68">
        <v>2.8360673786194002</v>
      </c>
      <c r="D68">
        <v>0.25533047084296701</v>
      </c>
      <c r="E68">
        <v>8.7444355843239894</v>
      </c>
      <c r="F68">
        <v>9.5400520598160394</v>
      </c>
      <c r="G68">
        <v>0.77366582392804795</v>
      </c>
      <c r="H68">
        <v>9.64075850960878</v>
      </c>
      <c r="I68">
        <v>10.6864828683951</v>
      </c>
      <c r="J68">
        <v>1.0457243587863401</v>
      </c>
    </row>
    <row r="69" spans="1:10" x14ac:dyDescent="0.35">
      <c r="A69" t="s">
        <v>100</v>
      </c>
      <c r="B69">
        <v>17.546194801127498</v>
      </c>
      <c r="C69">
        <v>13.8744996468095</v>
      </c>
      <c r="D69">
        <v>3.6716951543179599</v>
      </c>
      <c r="E69">
        <v>8.7444355843239894</v>
      </c>
      <c r="F69">
        <v>9.5400520598160394</v>
      </c>
      <c r="G69">
        <v>0.77366582392804795</v>
      </c>
      <c r="H69">
        <v>9.64075850960878</v>
      </c>
      <c r="I69">
        <v>10.6864828683951</v>
      </c>
      <c r="J69">
        <v>1.0457243587863401</v>
      </c>
    </row>
    <row r="70" spans="1:10" x14ac:dyDescent="0.35">
      <c r="A70" t="s">
        <v>101</v>
      </c>
      <c r="B70">
        <v>9.5537871251954005</v>
      </c>
      <c r="C70">
        <v>9.4968757493264899</v>
      </c>
      <c r="D70">
        <v>5.6911375868907002E-2</v>
      </c>
      <c r="E70">
        <v>8.7444355843239894</v>
      </c>
      <c r="F70">
        <v>9.5400520598160394</v>
      </c>
      <c r="G70">
        <v>0.77366582392804795</v>
      </c>
      <c r="H70">
        <v>9.64075850960878</v>
      </c>
      <c r="I70">
        <v>10.6864828683951</v>
      </c>
      <c r="J70">
        <v>1.0457243587863401</v>
      </c>
    </row>
    <row r="71" spans="1:10" x14ac:dyDescent="0.35">
      <c r="A71" t="s">
        <v>102</v>
      </c>
      <c r="B71">
        <v>6.6438241684773498</v>
      </c>
      <c r="C71">
        <v>6.7399991760392197</v>
      </c>
      <c r="D71">
        <v>-9.6175007561867296E-2</v>
      </c>
      <c r="E71">
        <v>8.7444355843239894</v>
      </c>
      <c r="F71">
        <v>9.5400520598160394</v>
      </c>
      <c r="G71">
        <v>0.77366582392804795</v>
      </c>
      <c r="H71">
        <v>9.64075850960878</v>
      </c>
      <c r="I71">
        <v>10.6864828683951</v>
      </c>
      <c r="J71">
        <v>1.0457243587863401</v>
      </c>
    </row>
    <row r="72" spans="1:10" x14ac:dyDescent="0.35">
      <c r="A72" t="s">
        <v>103</v>
      </c>
      <c r="B72">
        <v>17.435158501440899</v>
      </c>
      <c r="C72">
        <v>16.246419683523499</v>
      </c>
      <c r="D72">
        <v>1.1887388179174301</v>
      </c>
      <c r="E72">
        <v>8.7444355843239894</v>
      </c>
      <c r="F72">
        <v>9.5400520598160394</v>
      </c>
      <c r="G72">
        <v>0.77366582392804795</v>
      </c>
      <c r="H72">
        <v>9.64075850960878</v>
      </c>
      <c r="I72">
        <v>10.6864828683951</v>
      </c>
      <c r="J72">
        <v>1.0457243587863401</v>
      </c>
    </row>
    <row r="73" spans="1:10" x14ac:dyDescent="0.35">
      <c r="A73" t="s">
        <v>104</v>
      </c>
      <c r="B73">
        <v>11.4802725554198</v>
      </c>
      <c r="C73">
        <v>10.7688261698554</v>
      </c>
      <c r="D73">
        <v>0.711446385564388</v>
      </c>
      <c r="E73">
        <v>8.7444355843239894</v>
      </c>
      <c r="F73">
        <v>9.5400520598160394</v>
      </c>
      <c r="G73">
        <v>0.77366582392804795</v>
      </c>
      <c r="H73">
        <v>9.64075850960878</v>
      </c>
      <c r="I73">
        <v>10.6864828683951</v>
      </c>
      <c r="J73">
        <v>1.0457243587863401</v>
      </c>
    </row>
    <row r="74" spans="1:10" x14ac:dyDescent="0.35">
      <c r="A74" t="s">
        <v>105</v>
      </c>
      <c r="B74">
        <v>8.4820807842046708</v>
      </c>
      <c r="C74">
        <v>3.8985379938945401</v>
      </c>
      <c r="D74">
        <v>4.5835427903101396</v>
      </c>
      <c r="E74">
        <v>8.7444355843239894</v>
      </c>
      <c r="F74">
        <v>9.5400520598160394</v>
      </c>
      <c r="G74">
        <v>0.77366582392804795</v>
      </c>
      <c r="H74">
        <v>9.64075850960878</v>
      </c>
      <c r="I74">
        <v>10.6864828683951</v>
      </c>
      <c r="J74">
        <v>1.0457243587863401</v>
      </c>
    </row>
    <row r="75" spans="1:10" x14ac:dyDescent="0.35">
      <c r="A75" t="s">
        <v>106</v>
      </c>
      <c r="B75">
        <v>4.5906822928753801</v>
      </c>
      <c r="C75">
        <v>3.5860986107022201</v>
      </c>
      <c r="D75">
        <v>1.00458368217316</v>
      </c>
      <c r="E75">
        <v>8.7444355843239894</v>
      </c>
      <c r="F75">
        <v>9.5400520598160394</v>
      </c>
      <c r="G75">
        <v>0.77366582392804795</v>
      </c>
      <c r="H75">
        <v>9.64075850960878</v>
      </c>
      <c r="I75">
        <v>10.6864828683951</v>
      </c>
      <c r="J75">
        <v>1.0457243587863401</v>
      </c>
    </row>
    <row r="76" spans="1:10" x14ac:dyDescent="0.35">
      <c r="A76" t="s">
        <v>107</v>
      </c>
      <c r="B76">
        <v>6.4252705733596196</v>
      </c>
      <c r="C76">
        <v>2.3280423280423301</v>
      </c>
      <c r="D76">
        <v>4.0972282453173001</v>
      </c>
      <c r="E76">
        <v>8.7444355843239894</v>
      </c>
      <c r="F76">
        <v>9.5400520598160394</v>
      </c>
      <c r="G76">
        <v>0.77366582392804795</v>
      </c>
      <c r="H76">
        <v>9.64075850960878</v>
      </c>
      <c r="I76">
        <v>10.6864828683951</v>
      </c>
      <c r="J76">
        <v>1.0457243587863401</v>
      </c>
    </row>
    <row r="77" spans="1:10" x14ac:dyDescent="0.35">
      <c r="A77" t="s">
        <v>108</v>
      </c>
      <c r="B77">
        <v>13.4956696372537</v>
      </c>
      <c r="C77">
        <v>15.565287115277901</v>
      </c>
      <c r="D77">
        <v>-2.06961747802419</v>
      </c>
      <c r="E77">
        <v>8.7444355843239894</v>
      </c>
      <c r="F77">
        <v>9.5400520598160394</v>
      </c>
      <c r="G77">
        <v>0.77366582392804795</v>
      </c>
      <c r="H77">
        <v>9.64075850960878</v>
      </c>
      <c r="I77">
        <v>10.6864828683951</v>
      </c>
      <c r="J77">
        <v>1.0457243587863401</v>
      </c>
    </row>
    <row r="78" spans="1:10" x14ac:dyDescent="0.35">
      <c r="A78" t="s">
        <v>109</v>
      </c>
      <c r="B78">
        <v>6.5408292017690304</v>
      </c>
      <c r="C78">
        <v>4.0329006554427496</v>
      </c>
      <c r="D78">
        <v>2.5079285463262901</v>
      </c>
      <c r="E78">
        <v>8.7444355843239894</v>
      </c>
      <c r="F78">
        <v>9.5400520598160394</v>
      </c>
      <c r="G78">
        <v>0.77366582392804795</v>
      </c>
      <c r="H78">
        <v>9.64075850960878</v>
      </c>
      <c r="I78">
        <v>10.6864828683951</v>
      </c>
      <c r="J78">
        <v>1.0457243587863401</v>
      </c>
    </row>
    <row r="79" spans="1:10" x14ac:dyDescent="0.35">
      <c r="A79" t="s">
        <v>110</v>
      </c>
      <c r="B79">
        <v>10.895715061098199</v>
      </c>
      <c r="C79">
        <v>10.31950216593</v>
      </c>
      <c r="D79">
        <v>0.57621289516812302</v>
      </c>
      <c r="E79">
        <v>8.7444355843239894</v>
      </c>
      <c r="F79">
        <v>9.5400520598160394</v>
      </c>
      <c r="G79">
        <v>0.77366582392804795</v>
      </c>
      <c r="H79">
        <v>9.64075850960878</v>
      </c>
      <c r="I79">
        <v>10.6864828683951</v>
      </c>
      <c r="J79">
        <v>1.0457243587863401</v>
      </c>
    </row>
    <row r="80" spans="1:10" x14ac:dyDescent="0.35">
      <c r="A80" t="s">
        <v>111</v>
      </c>
      <c r="B80">
        <v>9.9613232389730104</v>
      </c>
      <c r="C80">
        <v>8.9333304905869593</v>
      </c>
      <c r="D80">
        <v>1.02799274838605</v>
      </c>
      <c r="E80">
        <v>8.7444355843239894</v>
      </c>
      <c r="F80">
        <v>9.5400520598160394</v>
      </c>
      <c r="G80">
        <v>0.77366582392804795</v>
      </c>
      <c r="H80">
        <v>9.64075850960878</v>
      </c>
      <c r="I80">
        <v>10.6864828683951</v>
      </c>
      <c r="J80">
        <v>1.0457243587863401</v>
      </c>
    </row>
    <row r="81" spans="1:10" x14ac:dyDescent="0.35">
      <c r="A81" t="s">
        <v>112</v>
      </c>
      <c r="B81">
        <v>9.9777196551390102</v>
      </c>
      <c r="C81">
        <v>7.5375505818339796</v>
      </c>
      <c r="D81">
        <v>2.4401690733050301</v>
      </c>
      <c r="E81">
        <v>8.7444355843239894</v>
      </c>
      <c r="F81">
        <v>9.5400520598160394</v>
      </c>
      <c r="G81">
        <v>0.77366582392804795</v>
      </c>
      <c r="H81">
        <v>9.64075850960878</v>
      </c>
      <c r="I81">
        <v>10.6864828683951</v>
      </c>
      <c r="J81">
        <v>1.0457243587863401</v>
      </c>
    </row>
    <row r="82" spans="1:10" x14ac:dyDescent="0.35">
      <c r="A82" t="s">
        <v>113</v>
      </c>
      <c r="B82">
        <v>18.906087408948999</v>
      </c>
      <c r="C82">
        <v>19.386248704337699</v>
      </c>
      <c r="D82">
        <v>-0.480161295388708</v>
      </c>
      <c r="E82">
        <v>8.7444355843239894</v>
      </c>
      <c r="F82">
        <v>9.5400520598160394</v>
      </c>
      <c r="G82">
        <v>0.77366582392804795</v>
      </c>
      <c r="H82">
        <v>9.64075850960878</v>
      </c>
      <c r="I82">
        <v>10.6864828683951</v>
      </c>
      <c r="J82">
        <v>1.0457243587863401</v>
      </c>
    </row>
    <row r="83" spans="1:10" x14ac:dyDescent="0.35">
      <c r="A83" t="s">
        <v>114</v>
      </c>
      <c r="B83">
        <v>7.2377052888748103</v>
      </c>
      <c r="C83">
        <v>6.7401650840365104</v>
      </c>
      <c r="D83">
        <v>0.49754020483830103</v>
      </c>
      <c r="E83">
        <v>8.7444355843239894</v>
      </c>
      <c r="F83">
        <v>9.5400520598160394</v>
      </c>
      <c r="G83">
        <v>0.77366582392804795</v>
      </c>
      <c r="H83">
        <v>9.64075850960878</v>
      </c>
      <c r="I83">
        <v>10.6864828683951</v>
      </c>
      <c r="J83">
        <v>1.0457243587863401</v>
      </c>
    </row>
    <row r="84" spans="1:10" x14ac:dyDescent="0.35">
      <c r="A84" t="s">
        <v>115</v>
      </c>
      <c r="B84">
        <v>17.918916946431199</v>
      </c>
      <c r="C84">
        <v>16.950238605129599</v>
      </c>
      <c r="D84">
        <v>0.96867834130159003</v>
      </c>
      <c r="E84">
        <v>8.7444355843239894</v>
      </c>
      <c r="F84">
        <v>9.5400520598160394</v>
      </c>
      <c r="G84">
        <v>0.77366582392804795</v>
      </c>
      <c r="H84">
        <v>9.64075850960878</v>
      </c>
      <c r="I84">
        <v>10.6864828683951</v>
      </c>
      <c r="J84">
        <v>1.0457243587863401</v>
      </c>
    </row>
    <row r="85" spans="1:10" x14ac:dyDescent="0.35">
      <c r="A85" t="s">
        <v>116</v>
      </c>
      <c r="B85">
        <v>16.124482460530501</v>
      </c>
      <c r="C85">
        <v>14.629455802559599</v>
      </c>
      <c r="D85">
        <v>1.4950266579709199</v>
      </c>
      <c r="E85">
        <v>8.7444355843239894</v>
      </c>
      <c r="F85">
        <v>9.5400520598160394</v>
      </c>
      <c r="G85">
        <v>0.77366582392804795</v>
      </c>
      <c r="H85">
        <v>9.64075850960878</v>
      </c>
      <c r="I85">
        <v>10.6864828683951</v>
      </c>
      <c r="J85">
        <v>1.0457243587863401</v>
      </c>
    </row>
    <row r="86" spans="1:10" x14ac:dyDescent="0.35">
      <c r="A86" t="s">
        <v>7</v>
      </c>
      <c r="B86">
        <v>11.5496521189121</v>
      </c>
      <c r="C86">
        <v>17.184449958643501</v>
      </c>
      <c r="D86">
        <v>-5.63479783973143</v>
      </c>
      <c r="E86">
        <v>8.7444355843239894</v>
      </c>
      <c r="F86">
        <v>9.5400520598160394</v>
      </c>
      <c r="G86">
        <v>0.77366582392804795</v>
      </c>
      <c r="H86">
        <v>9.64075850960878</v>
      </c>
      <c r="I86">
        <v>10.6864828683951</v>
      </c>
      <c r="J86">
        <v>1.0457243587863401</v>
      </c>
    </row>
    <row r="87" spans="1:10" x14ac:dyDescent="0.35">
      <c r="A87" t="s">
        <v>117</v>
      </c>
      <c r="B87">
        <v>14.8506304658356</v>
      </c>
      <c r="C87">
        <v>16.668454987953201</v>
      </c>
      <c r="D87">
        <v>-1.8178245221175799</v>
      </c>
      <c r="E87">
        <v>8.7444355843239894</v>
      </c>
      <c r="F87">
        <v>9.5400520598160394</v>
      </c>
      <c r="G87">
        <v>0.77366582392804795</v>
      </c>
      <c r="H87">
        <v>9.64075850960878</v>
      </c>
      <c r="I87">
        <v>10.6864828683951</v>
      </c>
      <c r="J87">
        <v>1.0457243587863401</v>
      </c>
    </row>
    <row r="88" spans="1:10" x14ac:dyDescent="0.35">
      <c r="A88" t="s">
        <v>118</v>
      </c>
      <c r="B88">
        <v>8.8850065514444392</v>
      </c>
      <c r="C88">
        <v>7.3655913978494603</v>
      </c>
      <c r="D88">
        <v>1.51941515359498</v>
      </c>
      <c r="E88">
        <v>8.7444355843239894</v>
      </c>
      <c r="F88">
        <v>9.5400520598160394</v>
      </c>
      <c r="G88">
        <v>0.77366582392804795</v>
      </c>
      <c r="H88">
        <v>9.64075850960878</v>
      </c>
      <c r="I88">
        <v>10.6864828683951</v>
      </c>
      <c r="J88">
        <v>1.0457243587863401</v>
      </c>
    </row>
    <row r="89" spans="1:10" x14ac:dyDescent="0.35">
      <c r="A89" t="s">
        <v>119</v>
      </c>
      <c r="B89">
        <v>7.0189796593960398</v>
      </c>
      <c r="C89">
        <v>9.3240689170311306</v>
      </c>
      <c r="D89">
        <v>-2.3050892576350899</v>
      </c>
      <c r="E89">
        <v>8.7444355843239894</v>
      </c>
      <c r="F89">
        <v>9.5400520598160394</v>
      </c>
      <c r="G89">
        <v>0.77366582392804795</v>
      </c>
      <c r="H89">
        <v>9.64075850960878</v>
      </c>
      <c r="I89">
        <v>10.6864828683951</v>
      </c>
      <c r="J89">
        <v>1.0457243587863401</v>
      </c>
    </row>
    <row r="90" spans="1:10" x14ac:dyDescent="0.35">
      <c r="A90" t="s">
        <v>120</v>
      </c>
      <c r="B90">
        <v>11.7435660877308</v>
      </c>
      <c r="C90">
        <v>9.9582915368776703</v>
      </c>
      <c r="D90">
        <v>1.7852745508531001</v>
      </c>
      <c r="E90">
        <v>8.7444355843239894</v>
      </c>
      <c r="F90">
        <v>9.5400520598160394</v>
      </c>
      <c r="G90">
        <v>0.77366582392804795</v>
      </c>
      <c r="H90">
        <v>9.64075850960878</v>
      </c>
      <c r="I90">
        <v>10.6864828683951</v>
      </c>
      <c r="J90">
        <v>1.0457243587863401</v>
      </c>
    </row>
    <row r="91" spans="1:10" x14ac:dyDescent="0.35">
      <c r="A91" t="s">
        <v>121</v>
      </c>
      <c r="B91">
        <v>5.6533011757612304</v>
      </c>
      <c r="C91">
        <v>4.8600746846339096</v>
      </c>
      <c r="D91">
        <v>0.79322649112731503</v>
      </c>
      <c r="E91">
        <v>8.7444355843239894</v>
      </c>
      <c r="F91">
        <v>9.5400520598160394</v>
      </c>
      <c r="G91">
        <v>0.77366582392804795</v>
      </c>
      <c r="H91">
        <v>9.64075850960878</v>
      </c>
      <c r="I91">
        <v>10.6864828683951</v>
      </c>
      <c r="J91">
        <v>1.0457243587863401</v>
      </c>
    </row>
    <row r="92" spans="1:10" x14ac:dyDescent="0.35">
      <c r="A92" t="s">
        <v>122</v>
      </c>
      <c r="B92">
        <v>4.0429806541908402</v>
      </c>
      <c r="C92">
        <v>4.4015124660285903</v>
      </c>
      <c r="D92">
        <v>-0.35853181183775501</v>
      </c>
      <c r="E92">
        <v>8.7444355843239894</v>
      </c>
      <c r="F92">
        <v>9.5400520598160394</v>
      </c>
      <c r="G92">
        <v>0.77366582392804795</v>
      </c>
      <c r="H92">
        <v>9.64075850960878</v>
      </c>
      <c r="I92">
        <v>10.6864828683951</v>
      </c>
      <c r="J92">
        <v>1.0457243587863401</v>
      </c>
    </row>
    <row r="93" spans="1:10" x14ac:dyDescent="0.35">
      <c r="A93" t="s">
        <v>123</v>
      </c>
      <c r="B93">
        <v>4.3875779813360403</v>
      </c>
      <c r="C93">
        <v>5.8265716735932402</v>
      </c>
      <c r="D93">
        <v>-1.43899369225721</v>
      </c>
      <c r="E93">
        <v>8.7444355843239894</v>
      </c>
      <c r="F93">
        <v>9.5400520598160394</v>
      </c>
      <c r="G93">
        <v>0.77366582392804795</v>
      </c>
      <c r="H93">
        <v>9.64075850960878</v>
      </c>
      <c r="I93">
        <v>10.6864828683951</v>
      </c>
      <c r="J93">
        <v>1.0457243587863401</v>
      </c>
    </row>
    <row r="94" spans="1:10" x14ac:dyDescent="0.35">
      <c r="A94" t="s">
        <v>124</v>
      </c>
      <c r="B94">
        <v>7.52505303196547</v>
      </c>
      <c r="C94">
        <v>7.7444812161326704</v>
      </c>
      <c r="D94">
        <v>-0.21942818416719401</v>
      </c>
      <c r="E94">
        <v>8.7444355843239894</v>
      </c>
      <c r="F94">
        <v>9.5400520598160394</v>
      </c>
      <c r="G94">
        <v>0.77366582392804795</v>
      </c>
      <c r="H94">
        <v>9.64075850960878</v>
      </c>
      <c r="I94">
        <v>10.6864828683951</v>
      </c>
      <c r="J94">
        <v>1.0457243587863401</v>
      </c>
    </row>
    <row r="95" spans="1:10" x14ac:dyDescent="0.35">
      <c r="A95" t="s">
        <v>125</v>
      </c>
      <c r="B95">
        <v>9.58955034725156</v>
      </c>
      <c r="C95">
        <v>9.5488607337990796</v>
      </c>
      <c r="D95">
        <v>4.06896134524821E-2</v>
      </c>
      <c r="E95">
        <v>8.7444355843239894</v>
      </c>
      <c r="F95">
        <v>9.5400520598160394</v>
      </c>
      <c r="G95">
        <v>0.77366582392804795</v>
      </c>
      <c r="H95">
        <v>9.64075850960878</v>
      </c>
      <c r="I95">
        <v>10.6864828683951</v>
      </c>
      <c r="J95">
        <v>1.0457243587863401</v>
      </c>
    </row>
    <row r="96" spans="1:10" x14ac:dyDescent="0.35">
      <c r="A96" t="s">
        <v>8</v>
      </c>
      <c r="B96">
        <v>8.7309694649911993</v>
      </c>
      <c r="C96">
        <v>11.407579273008499</v>
      </c>
      <c r="D96">
        <v>-2.67660980801731</v>
      </c>
      <c r="E96">
        <v>8.7444355843239894</v>
      </c>
      <c r="F96">
        <v>9.5400520598160394</v>
      </c>
      <c r="G96">
        <v>0.77366582392804795</v>
      </c>
      <c r="H96">
        <v>9.64075850960878</v>
      </c>
      <c r="I96">
        <v>10.6864828683951</v>
      </c>
      <c r="J96">
        <v>1.0457243587863401</v>
      </c>
    </row>
    <row r="97" spans="1:10" x14ac:dyDescent="0.35">
      <c r="A97" t="s">
        <v>126</v>
      </c>
      <c r="B97">
        <v>15.233605936695399</v>
      </c>
      <c r="C97">
        <v>13.984183876656999</v>
      </c>
      <c r="D97">
        <v>1.24942206003845</v>
      </c>
      <c r="E97">
        <v>8.7444355843239894</v>
      </c>
      <c r="F97">
        <v>9.5400520598160394</v>
      </c>
      <c r="G97">
        <v>0.77366582392804795</v>
      </c>
      <c r="H97">
        <v>9.64075850960878</v>
      </c>
      <c r="I97">
        <v>10.6864828683951</v>
      </c>
      <c r="J97">
        <v>1.0457243587863401</v>
      </c>
    </row>
    <row r="98" spans="1:10" x14ac:dyDescent="0.35">
      <c r="A98" t="s">
        <v>127</v>
      </c>
      <c r="B98">
        <v>13.9641114153077</v>
      </c>
      <c r="C98">
        <v>13.529700088839901</v>
      </c>
      <c r="D98">
        <v>0.43441132646782599</v>
      </c>
      <c r="E98">
        <v>8.7444355843239894</v>
      </c>
      <c r="F98">
        <v>9.5400520598160394</v>
      </c>
      <c r="G98">
        <v>0.77366582392804795</v>
      </c>
      <c r="H98">
        <v>9.64075850960878</v>
      </c>
      <c r="I98">
        <v>10.6864828683951</v>
      </c>
      <c r="J98">
        <v>1.0457243587863401</v>
      </c>
    </row>
    <row r="99" spans="1:10" x14ac:dyDescent="0.35">
      <c r="A99" t="s">
        <v>128</v>
      </c>
      <c r="B99">
        <v>7.4868305392364602</v>
      </c>
      <c r="C99">
        <v>2.4834606902918099</v>
      </c>
      <c r="D99">
        <v>5.0033698489446499</v>
      </c>
      <c r="E99">
        <v>8.7444355843239894</v>
      </c>
      <c r="F99">
        <v>9.5400520598160394</v>
      </c>
      <c r="G99">
        <v>0.77366582392804795</v>
      </c>
      <c r="H99">
        <v>9.64075850960878</v>
      </c>
      <c r="I99">
        <v>10.6864828683951</v>
      </c>
      <c r="J99">
        <v>1.0457243587863401</v>
      </c>
    </row>
    <row r="100" spans="1:10" x14ac:dyDescent="0.35">
      <c r="A100" t="s">
        <v>129</v>
      </c>
      <c r="B100">
        <v>20.537967014953001</v>
      </c>
      <c r="C100">
        <v>17.609044670201399</v>
      </c>
      <c r="D100">
        <v>2.9289223447516002</v>
      </c>
      <c r="E100">
        <v>8.7444355843239894</v>
      </c>
      <c r="F100">
        <v>9.5400520598160394</v>
      </c>
      <c r="G100">
        <v>0.77366582392804795</v>
      </c>
      <c r="H100">
        <v>9.64075850960878</v>
      </c>
      <c r="I100">
        <v>10.6864828683951</v>
      </c>
      <c r="J100">
        <v>1.0457243587863401</v>
      </c>
    </row>
    <row r="101" spans="1:10" x14ac:dyDescent="0.35">
      <c r="A101" t="s">
        <v>130</v>
      </c>
      <c r="B101">
        <v>10.397202200014201</v>
      </c>
      <c r="C101">
        <v>9.9294354838709697</v>
      </c>
      <c r="D101">
        <v>0.46776671614326498</v>
      </c>
      <c r="E101">
        <v>8.7444355843239894</v>
      </c>
      <c r="F101">
        <v>9.5400520598160394</v>
      </c>
      <c r="G101">
        <v>0.77366582392804795</v>
      </c>
      <c r="H101">
        <v>9.64075850960878</v>
      </c>
      <c r="I101">
        <v>10.6864828683951</v>
      </c>
      <c r="J101">
        <v>1.0457243587863401</v>
      </c>
    </row>
    <row r="102" spans="1:10" x14ac:dyDescent="0.35">
      <c r="A102" t="s">
        <v>131</v>
      </c>
      <c r="B102">
        <v>12.923537123548201</v>
      </c>
      <c r="C102">
        <v>9.8102369133199403</v>
      </c>
      <c r="D102">
        <v>3.1133002102282599</v>
      </c>
      <c r="E102">
        <v>8.7444355843239894</v>
      </c>
      <c r="F102">
        <v>9.5400520598160394</v>
      </c>
      <c r="G102">
        <v>0.77366582392804795</v>
      </c>
      <c r="H102">
        <v>9.64075850960878</v>
      </c>
      <c r="I102">
        <v>10.6864828683951</v>
      </c>
      <c r="J102">
        <v>1.0457243587863401</v>
      </c>
    </row>
    <row r="103" spans="1:10" x14ac:dyDescent="0.35">
      <c r="A103" t="s">
        <v>132</v>
      </c>
      <c r="B103">
        <v>7.94818587687858</v>
      </c>
      <c r="C103">
        <v>6.5954386685843396</v>
      </c>
      <c r="D103">
        <v>1.35274720829423</v>
      </c>
      <c r="E103">
        <v>8.7444355843239894</v>
      </c>
      <c r="F103">
        <v>9.5400520598160394</v>
      </c>
      <c r="G103">
        <v>0.77366582392804795</v>
      </c>
      <c r="H103">
        <v>9.64075850960878</v>
      </c>
      <c r="I103">
        <v>10.6864828683951</v>
      </c>
      <c r="J103">
        <v>1.0457243587863401</v>
      </c>
    </row>
    <row r="104" spans="1:10" x14ac:dyDescent="0.35">
      <c r="A104" t="s">
        <v>133</v>
      </c>
      <c r="B104">
        <v>9.0013364429653304</v>
      </c>
      <c r="C104">
        <v>6.8114096366176602</v>
      </c>
      <c r="D104">
        <v>2.1899268063476698</v>
      </c>
      <c r="E104">
        <v>8.7444355843239894</v>
      </c>
      <c r="F104">
        <v>9.5400520598160394</v>
      </c>
      <c r="G104">
        <v>0.77366582392804795</v>
      </c>
      <c r="H104">
        <v>9.64075850960878</v>
      </c>
      <c r="I104">
        <v>10.6864828683951</v>
      </c>
      <c r="J104">
        <v>1.0457243587863401</v>
      </c>
    </row>
    <row r="105" spans="1:10" x14ac:dyDescent="0.35">
      <c r="A105" t="s">
        <v>134</v>
      </c>
      <c r="B105">
        <v>5.5379885265775997</v>
      </c>
      <c r="C105">
        <v>6.1639058413252004</v>
      </c>
      <c r="D105">
        <v>-0.62591731474760204</v>
      </c>
      <c r="E105">
        <v>8.7444355843239894</v>
      </c>
      <c r="F105">
        <v>9.5400520598160394</v>
      </c>
      <c r="G105">
        <v>0.77366582392804795</v>
      </c>
      <c r="H105">
        <v>9.64075850960878</v>
      </c>
      <c r="I105">
        <v>10.6864828683951</v>
      </c>
      <c r="J105">
        <v>1.0457243587863401</v>
      </c>
    </row>
    <row r="106" spans="1:10" x14ac:dyDescent="0.35">
      <c r="A106" t="s">
        <v>9</v>
      </c>
      <c r="B106">
        <v>14.0056853293783</v>
      </c>
      <c r="C106">
        <v>18.1104974994667</v>
      </c>
      <c r="D106">
        <v>-4.1048121700883904</v>
      </c>
      <c r="E106">
        <v>8.7444355843239894</v>
      </c>
      <c r="F106">
        <v>9.5400520598160394</v>
      </c>
      <c r="G106">
        <v>0.77366582392804795</v>
      </c>
      <c r="H106">
        <v>9.64075850960878</v>
      </c>
      <c r="I106">
        <v>10.6864828683951</v>
      </c>
      <c r="J106">
        <v>1.0457243587863401</v>
      </c>
    </row>
    <row r="107" spans="1:10" x14ac:dyDescent="0.35">
      <c r="A107" t="s">
        <v>135</v>
      </c>
      <c r="B107">
        <v>4.30325988648727</v>
      </c>
      <c r="C107">
        <v>4.6062656576874401</v>
      </c>
      <c r="D107">
        <v>-0.30300577120017502</v>
      </c>
      <c r="E107">
        <v>8.7444355843239894</v>
      </c>
      <c r="F107">
        <v>9.5400520598160394</v>
      </c>
      <c r="G107">
        <v>0.77366582392804795</v>
      </c>
      <c r="H107">
        <v>9.64075850960878</v>
      </c>
      <c r="I107">
        <v>10.6864828683951</v>
      </c>
      <c r="J107">
        <v>1.0457243587863401</v>
      </c>
    </row>
    <row r="108" spans="1:10" x14ac:dyDescent="0.35">
      <c r="A108" t="s">
        <v>136</v>
      </c>
      <c r="B108">
        <v>11.266917019483801</v>
      </c>
      <c r="C108">
        <v>10.3547567323851</v>
      </c>
      <c r="D108">
        <v>0.91216028709870001</v>
      </c>
      <c r="E108">
        <v>8.7444355843239894</v>
      </c>
      <c r="F108">
        <v>9.5400520598160394</v>
      </c>
      <c r="G108">
        <v>0.77366582392804795</v>
      </c>
      <c r="H108">
        <v>9.64075850960878</v>
      </c>
      <c r="I108">
        <v>10.6864828683951</v>
      </c>
      <c r="J108">
        <v>1.0457243587863401</v>
      </c>
    </row>
    <row r="109" spans="1:10" x14ac:dyDescent="0.35">
      <c r="A109" t="s">
        <v>137</v>
      </c>
      <c r="B109">
        <v>18.1224075676643</v>
      </c>
      <c r="C109">
        <v>11.0839435937784</v>
      </c>
      <c r="D109">
        <v>7.03846397388598</v>
      </c>
      <c r="E109">
        <v>8.7444355843239894</v>
      </c>
      <c r="F109">
        <v>9.5400520598160394</v>
      </c>
      <c r="G109">
        <v>0.77366582392804795</v>
      </c>
      <c r="H109">
        <v>9.64075850960878</v>
      </c>
      <c r="I109">
        <v>10.6864828683951</v>
      </c>
      <c r="J109">
        <v>1.0457243587863401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workbookViewId="0"/>
  </sheetViews>
  <sheetFormatPr defaultColWidth="11.453125" defaultRowHeight="14.5" x14ac:dyDescent="0.35"/>
  <sheetData>
    <row r="1" spans="1:13" x14ac:dyDescent="0.35">
      <c r="A1" t="s">
        <v>11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138</v>
      </c>
      <c r="L1" t="s">
        <v>139</v>
      </c>
      <c r="M1" t="s">
        <v>140</v>
      </c>
    </row>
    <row r="2" spans="1:13" x14ac:dyDescent="0.35">
      <c r="A2" t="s">
        <v>40</v>
      </c>
      <c r="B2">
        <v>9.4725053306989597</v>
      </c>
      <c r="C2">
        <v>7.6780497443159099</v>
      </c>
      <c r="D2">
        <v>1.79445558638305</v>
      </c>
      <c r="E2">
        <v>8.7444355843239894</v>
      </c>
      <c r="F2">
        <v>9.5400520598160394</v>
      </c>
      <c r="G2">
        <v>0.77366582392804795</v>
      </c>
      <c r="H2">
        <v>9.64075850960878</v>
      </c>
      <c r="I2">
        <v>10.6864828683951</v>
      </c>
      <c r="J2">
        <v>1.0457243587863401</v>
      </c>
      <c r="K2">
        <v>44</v>
      </c>
      <c r="L2">
        <v>52</v>
      </c>
      <c r="M2">
        <v>75</v>
      </c>
    </row>
    <row r="3" spans="1:13" x14ac:dyDescent="0.35">
      <c r="A3" t="s">
        <v>41</v>
      </c>
      <c r="B3">
        <v>9.7447421820181699</v>
      </c>
      <c r="C3">
        <v>7.6686999254259298</v>
      </c>
      <c r="D3">
        <v>2.0760422565922401</v>
      </c>
      <c r="E3">
        <v>8.7444355843239894</v>
      </c>
      <c r="F3">
        <v>9.5400520598160394</v>
      </c>
      <c r="G3">
        <v>0.77366582392804795</v>
      </c>
      <c r="H3">
        <v>9.64075850960878</v>
      </c>
      <c r="I3">
        <v>10.6864828683951</v>
      </c>
      <c r="J3">
        <v>1.0457243587863401</v>
      </c>
      <c r="K3">
        <v>42</v>
      </c>
      <c r="L3">
        <v>57</v>
      </c>
      <c r="M3">
        <v>80</v>
      </c>
    </row>
    <row r="4" spans="1:13" x14ac:dyDescent="0.35">
      <c r="A4" t="s">
        <v>42</v>
      </c>
      <c r="B4">
        <v>13.5676485466361</v>
      </c>
      <c r="C4">
        <v>11.7579006227947</v>
      </c>
      <c r="D4">
        <v>1.8097479238413801</v>
      </c>
      <c r="E4">
        <v>8.7444355843239894</v>
      </c>
      <c r="F4">
        <v>9.5400520598160394</v>
      </c>
      <c r="G4">
        <v>0.77366582392804795</v>
      </c>
      <c r="H4">
        <v>9.64075850960878</v>
      </c>
      <c r="I4">
        <v>10.6864828683951</v>
      </c>
      <c r="J4">
        <v>1.0457243587863401</v>
      </c>
      <c r="K4">
        <v>81</v>
      </c>
      <c r="L4">
        <v>85</v>
      </c>
      <c r="M4">
        <v>76</v>
      </c>
    </row>
    <row r="5" spans="1:13" x14ac:dyDescent="0.35">
      <c r="A5" t="s">
        <v>43</v>
      </c>
      <c r="B5">
        <v>13.079692242535501</v>
      </c>
      <c r="C5">
        <v>14.654377880184301</v>
      </c>
      <c r="D5">
        <v>-1.57468563764886</v>
      </c>
      <c r="E5">
        <v>8.7444355843239894</v>
      </c>
      <c r="F5">
        <v>9.5400520598160394</v>
      </c>
      <c r="G5">
        <v>0.77366582392804795</v>
      </c>
      <c r="H5">
        <v>9.64075850960878</v>
      </c>
      <c r="I5">
        <v>10.6864828683951</v>
      </c>
      <c r="J5">
        <v>1.0457243587863401</v>
      </c>
      <c r="K5">
        <v>94</v>
      </c>
      <c r="L5">
        <v>83</v>
      </c>
      <c r="M5">
        <v>18</v>
      </c>
    </row>
    <row r="6" spans="1:13" x14ac:dyDescent="0.35">
      <c r="A6" t="s">
        <v>44</v>
      </c>
      <c r="B6">
        <v>6.22026819961743</v>
      </c>
      <c r="C6">
        <v>5.1704840708318303</v>
      </c>
      <c r="D6">
        <v>1.0497841287856</v>
      </c>
      <c r="E6">
        <v>8.7444355843239894</v>
      </c>
      <c r="F6">
        <v>9.5400520598160394</v>
      </c>
      <c r="G6">
        <v>0.77366582392804795</v>
      </c>
      <c r="H6">
        <v>9.64075850960878</v>
      </c>
      <c r="I6">
        <v>10.6864828683951</v>
      </c>
      <c r="J6">
        <v>1.0457243587863401</v>
      </c>
      <c r="K6">
        <v>19</v>
      </c>
      <c r="L6">
        <v>17</v>
      </c>
      <c r="M6">
        <v>62</v>
      </c>
    </row>
    <row r="7" spans="1:13" x14ac:dyDescent="0.35">
      <c r="A7" t="s">
        <v>45</v>
      </c>
      <c r="B7">
        <v>7.1395177987043299</v>
      </c>
      <c r="C7">
        <v>7.8322049648214502</v>
      </c>
      <c r="D7">
        <v>-0.692687166117117</v>
      </c>
      <c r="E7">
        <v>8.7444355843239894</v>
      </c>
      <c r="F7">
        <v>9.5400520598160394</v>
      </c>
      <c r="G7">
        <v>0.77366582392804795</v>
      </c>
      <c r="H7">
        <v>9.64075850960878</v>
      </c>
      <c r="I7">
        <v>10.6864828683951</v>
      </c>
      <c r="J7">
        <v>1.0457243587863401</v>
      </c>
      <c r="K7">
        <v>48</v>
      </c>
      <c r="L7">
        <v>30</v>
      </c>
      <c r="M7">
        <v>25</v>
      </c>
    </row>
    <row r="8" spans="1:13" x14ac:dyDescent="0.35">
      <c r="A8" t="s">
        <v>46</v>
      </c>
      <c r="B8">
        <v>11.5132098934567</v>
      </c>
      <c r="C8">
        <v>11.0180691682262</v>
      </c>
      <c r="D8">
        <v>0.49514072523052699</v>
      </c>
      <c r="E8">
        <v>8.7444355843239894</v>
      </c>
      <c r="F8">
        <v>9.5400520598160394</v>
      </c>
      <c r="G8">
        <v>0.77366582392804795</v>
      </c>
      <c r="H8">
        <v>9.64075850960878</v>
      </c>
      <c r="I8">
        <v>10.6864828683951</v>
      </c>
      <c r="J8">
        <v>1.0457243587863401</v>
      </c>
      <c r="K8">
        <v>77</v>
      </c>
      <c r="L8">
        <v>73</v>
      </c>
      <c r="M8">
        <v>46</v>
      </c>
    </row>
    <row r="9" spans="1:13" x14ac:dyDescent="0.35">
      <c r="A9" t="s">
        <v>47</v>
      </c>
      <c r="B9">
        <v>6.8993418923292698</v>
      </c>
      <c r="C9">
        <v>5.34405111018014</v>
      </c>
      <c r="D9">
        <v>1.55529078214913</v>
      </c>
      <c r="E9">
        <v>8.7444355843239894</v>
      </c>
      <c r="F9">
        <v>9.5400520598160394</v>
      </c>
      <c r="G9">
        <v>0.77366582392804795</v>
      </c>
      <c r="H9">
        <v>9.64075850960878</v>
      </c>
      <c r="I9">
        <v>10.6864828683951</v>
      </c>
      <c r="J9">
        <v>1.0457243587863401</v>
      </c>
      <c r="K9">
        <v>21</v>
      </c>
      <c r="L9">
        <v>28</v>
      </c>
      <c r="M9">
        <v>71</v>
      </c>
    </row>
    <row r="10" spans="1:13" x14ac:dyDescent="0.35">
      <c r="A10" t="s">
        <v>0</v>
      </c>
      <c r="B10">
        <v>10.540318204890299</v>
      </c>
      <c r="C10">
        <v>14.271009612868299</v>
      </c>
      <c r="D10">
        <v>-3.7306914079779898</v>
      </c>
      <c r="E10">
        <v>8.7444355843239894</v>
      </c>
      <c r="F10">
        <v>9.5400520598160394</v>
      </c>
      <c r="G10">
        <v>0.77366582392804795</v>
      </c>
      <c r="H10">
        <v>9.64075850960878</v>
      </c>
      <c r="I10">
        <v>10.6864828683951</v>
      </c>
      <c r="J10">
        <v>1.0457243587863401</v>
      </c>
      <c r="K10">
        <v>92</v>
      </c>
      <c r="L10">
        <v>64</v>
      </c>
      <c r="M10">
        <v>4</v>
      </c>
    </row>
    <row r="11" spans="1:13" x14ac:dyDescent="0.35">
      <c r="A11" t="s">
        <v>48</v>
      </c>
      <c r="B11">
        <v>1.7273416761471401</v>
      </c>
      <c r="C11">
        <v>3.3053653282415598</v>
      </c>
      <c r="D11">
        <v>-1.57802365209443</v>
      </c>
      <c r="E11">
        <v>8.7444355843239894</v>
      </c>
      <c r="F11">
        <v>9.5400520598160394</v>
      </c>
      <c r="G11">
        <v>0.77366582392804795</v>
      </c>
      <c r="H11">
        <v>9.64075850960878</v>
      </c>
      <c r="I11">
        <v>10.6864828683951</v>
      </c>
      <c r="J11">
        <v>1.0457243587863401</v>
      </c>
      <c r="K11">
        <v>7</v>
      </c>
      <c r="L11">
        <v>1</v>
      </c>
      <c r="M11">
        <v>17</v>
      </c>
    </row>
    <row r="12" spans="1:13" x14ac:dyDescent="0.35">
      <c r="A12" t="s">
        <v>49</v>
      </c>
      <c r="B12">
        <v>4.4108858213197699</v>
      </c>
      <c r="C12">
        <v>5.55990007602911</v>
      </c>
      <c r="D12">
        <v>-1.14901425470934</v>
      </c>
      <c r="E12">
        <v>8.7444355843239894</v>
      </c>
      <c r="F12">
        <v>9.5400520598160394</v>
      </c>
      <c r="G12">
        <v>0.77366582392804795</v>
      </c>
      <c r="H12">
        <v>9.64075850960878</v>
      </c>
      <c r="I12">
        <v>10.6864828683951</v>
      </c>
      <c r="J12">
        <v>1.0457243587863401</v>
      </c>
      <c r="K12">
        <v>22</v>
      </c>
      <c r="L12">
        <v>9</v>
      </c>
      <c r="M12">
        <v>21</v>
      </c>
    </row>
    <row r="13" spans="1:13" x14ac:dyDescent="0.35">
      <c r="A13" t="s">
        <v>50</v>
      </c>
      <c r="B13">
        <v>6.5895482617009904</v>
      </c>
      <c r="C13">
        <v>5.0728642485238096</v>
      </c>
      <c r="D13">
        <v>1.5166840131771899</v>
      </c>
      <c r="E13">
        <v>8.7444355843239894</v>
      </c>
      <c r="F13">
        <v>9.5400520598160394</v>
      </c>
      <c r="G13">
        <v>0.77366582392804795</v>
      </c>
      <c r="H13">
        <v>9.64075850960878</v>
      </c>
      <c r="I13">
        <v>10.6864828683951</v>
      </c>
      <c r="J13">
        <v>1.0457243587863401</v>
      </c>
      <c r="K13">
        <v>18</v>
      </c>
      <c r="L13">
        <v>21</v>
      </c>
      <c r="M13">
        <v>69</v>
      </c>
    </row>
    <row r="14" spans="1:13" x14ac:dyDescent="0.35">
      <c r="A14" t="s">
        <v>51</v>
      </c>
      <c r="B14">
        <v>9.8987663162006392</v>
      </c>
      <c r="C14">
        <v>10.646832692629101</v>
      </c>
      <c r="D14">
        <v>-0.74806637642846996</v>
      </c>
      <c r="E14">
        <v>8.7444355843239894</v>
      </c>
      <c r="F14">
        <v>9.5400520598160394</v>
      </c>
      <c r="G14">
        <v>0.77366582392804795</v>
      </c>
      <c r="H14">
        <v>9.64075850960878</v>
      </c>
      <c r="I14">
        <v>10.6864828683951</v>
      </c>
      <c r="J14">
        <v>1.0457243587863401</v>
      </c>
      <c r="K14">
        <v>72</v>
      </c>
      <c r="L14">
        <v>58</v>
      </c>
      <c r="M14">
        <v>23</v>
      </c>
    </row>
    <row r="15" spans="1:13" x14ac:dyDescent="0.35">
      <c r="A15" t="s">
        <v>52</v>
      </c>
      <c r="B15">
        <v>6.8034446785444</v>
      </c>
      <c r="C15">
        <v>6.37898686679174</v>
      </c>
      <c r="D15">
        <v>0.42445781175265401</v>
      </c>
      <c r="E15">
        <v>8.7444355843239894</v>
      </c>
      <c r="F15">
        <v>9.5400520598160394</v>
      </c>
      <c r="G15">
        <v>0.77366582392804795</v>
      </c>
      <c r="H15">
        <v>9.64075850960878</v>
      </c>
      <c r="I15">
        <v>10.6864828683951</v>
      </c>
      <c r="J15">
        <v>1.0457243587863401</v>
      </c>
      <c r="K15">
        <v>30</v>
      </c>
      <c r="L15">
        <v>25</v>
      </c>
      <c r="M15">
        <v>42</v>
      </c>
    </row>
    <row r="16" spans="1:13" x14ac:dyDescent="0.35">
      <c r="A16" t="s">
        <v>53</v>
      </c>
      <c r="B16">
        <v>5.7189913675602</v>
      </c>
      <c r="C16">
        <v>3.1220966661625198</v>
      </c>
      <c r="D16">
        <v>2.5968947013976802</v>
      </c>
      <c r="E16">
        <v>8.7444355843239894</v>
      </c>
      <c r="F16">
        <v>9.5400520598160394</v>
      </c>
      <c r="G16">
        <v>0.77366582392804795</v>
      </c>
      <c r="H16">
        <v>9.64075850960878</v>
      </c>
      <c r="I16">
        <v>10.6864828683951</v>
      </c>
      <c r="J16">
        <v>1.0457243587863401</v>
      </c>
      <c r="K16">
        <v>6</v>
      </c>
      <c r="L16">
        <v>16</v>
      </c>
      <c r="M16">
        <v>85</v>
      </c>
    </row>
    <row r="17" spans="1:13" x14ac:dyDescent="0.35">
      <c r="A17" t="s">
        <v>54</v>
      </c>
      <c r="B17">
        <v>9.0040670479337095</v>
      </c>
      <c r="C17">
        <v>8.6189792917751706</v>
      </c>
      <c r="D17">
        <v>0.38508775615853902</v>
      </c>
      <c r="E17">
        <v>8.7444355843239894</v>
      </c>
      <c r="F17">
        <v>9.5400520598160394</v>
      </c>
      <c r="G17">
        <v>0.77366582392804795</v>
      </c>
      <c r="H17">
        <v>9.64075850960878</v>
      </c>
      <c r="I17">
        <v>10.6864828683951</v>
      </c>
      <c r="J17">
        <v>1.0457243587863401</v>
      </c>
      <c r="K17">
        <v>53</v>
      </c>
      <c r="L17">
        <v>49</v>
      </c>
      <c r="M17">
        <v>40</v>
      </c>
    </row>
    <row r="18" spans="1:13" x14ac:dyDescent="0.35">
      <c r="A18" t="s">
        <v>55</v>
      </c>
      <c r="B18">
        <v>9.2500513663447705</v>
      </c>
      <c r="C18">
        <v>7.6749211888098001</v>
      </c>
      <c r="D18">
        <v>1.57513017753497</v>
      </c>
      <c r="E18">
        <v>8.7444355843239894</v>
      </c>
      <c r="F18">
        <v>9.5400520598160394</v>
      </c>
      <c r="G18">
        <v>0.77366582392804795</v>
      </c>
      <c r="H18">
        <v>9.64075850960878</v>
      </c>
      <c r="I18">
        <v>10.6864828683951</v>
      </c>
      <c r="J18">
        <v>1.0457243587863401</v>
      </c>
      <c r="K18">
        <v>43</v>
      </c>
      <c r="L18">
        <v>50</v>
      </c>
      <c r="M18">
        <v>72</v>
      </c>
    </row>
    <row r="19" spans="1:13" x14ac:dyDescent="0.35">
      <c r="A19" t="s">
        <v>56</v>
      </c>
      <c r="B19">
        <v>6.6110028077144696</v>
      </c>
      <c r="C19">
        <v>5.8239952558036103</v>
      </c>
      <c r="D19">
        <v>0.78700755191086003</v>
      </c>
      <c r="E19">
        <v>8.7444355843239894</v>
      </c>
      <c r="F19">
        <v>9.5400520598160394</v>
      </c>
      <c r="G19">
        <v>0.77366582392804795</v>
      </c>
      <c r="H19">
        <v>9.64075850960878</v>
      </c>
      <c r="I19">
        <v>10.6864828683951</v>
      </c>
      <c r="J19">
        <v>1.0457243587863401</v>
      </c>
      <c r="K19">
        <v>26</v>
      </c>
      <c r="L19">
        <v>22</v>
      </c>
      <c r="M19">
        <v>55</v>
      </c>
    </row>
    <row r="20" spans="1:13" x14ac:dyDescent="0.35">
      <c r="A20" t="s">
        <v>1</v>
      </c>
      <c r="B20">
        <v>8.0158509454949893</v>
      </c>
      <c r="C20">
        <v>10.959558071336</v>
      </c>
      <c r="D20">
        <v>-2.9437071258410201</v>
      </c>
      <c r="E20">
        <v>8.7444355843239894</v>
      </c>
      <c r="F20">
        <v>9.5400520598160394</v>
      </c>
      <c r="G20">
        <v>0.77366582392804795</v>
      </c>
      <c r="H20">
        <v>9.64075850960878</v>
      </c>
      <c r="I20">
        <v>10.6864828683951</v>
      </c>
      <c r="J20">
        <v>1.0457243587863401</v>
      </c>
      <c r="K20">
        <v>75</v>
      </c>
      <c r="L20">
        <v>40</v>
      </c>
      <c r="M20">
        <v>7</v>
      </c>
    </row>
    <row r="21" spans="1:13" x14ac:dyDescent="0.35">
      <c r="A21" t="s">
        <v>2</v>
      </c>
      <c r="B21">
        <v>10.886354185231401</v>
      </c>
      <c r="C21">
        <v>13.7642493330099</v>
      </c>
      <c r="D21">
        <v>-2.8778951477785499</v>
      </c>
      <c r="E21">
        <v>8.7444355843239894</v>
      </c>
      <c r="F21">
        <v>9.5400520598160394</v>
      </c>
      <c r="G21">
        <v>0.77366582392804795</v>
      </c>
      <c r="H21">
        <v>9.64075850960878</v>
      </c>
      <c r="I21">
        <v>10.6864828683951</v>
      </c>
      <c r="J21">
        <v>1.0457243587863401</v>
      </c>
      <c r="K21">
        <v>87</v>
      </c>
      <c r="L21">
        <v>65</v>
      </c>
      <c r="M21">
        <v>8</v>
      </c>
    </row>
    <row r="22" spans="1:13" x14ac:dyDescent="0.35">
      <c r="A22" t="s">
        <v>57</v>
      </c>
      <c r="B22">
        <v>11.830048951926701</v>
      </c>
      <c r="C22">
        <v>9.7638967098383098</v>
      </c>
      <c r="D22">
        <v>2.06615224208839</v>
      </c>
      <c r="E22">
        <v>8.7444355843239894</v>
      </c>
      <c r="F22">
        <v>9.5400520598160394</v>
      </c>
      <c r="G22">
        <v>0.77366582392804795</v>
      </c>
      <c r="H22">
        <v>9.64075850960878</v>
      </c>
      <c r="I22">
        <v>10.6864828683951</v>
      </c>
      <c r="J22">
        <v>1.0457243587863401</v>
      </c>
      <c r="K22">
        <v>62</v>
      </c>
      <c r="L22">
        <v>76</v>
      </c>
      <c r="M22">
        <v>79</v>
      </c>
    </row>
    <row r="23" spans="1:13" x14ac:dyDescent="0.35">
      <c r="A23" t="s">
        <v>58</v>
      </c>
      <c r="B23">
        <v>11.4888489421804</v>
      </c>
      <c r="C23">
        <v>12.1168742033533</v>
      </c>
      <c r="D23">
        <v>-0.62802526117283697</v>
      </c>
      <c r="E23">
        <v>8.7444355843239894</v>
      </c>
      <c r="F23">
        <v>9.5400520598160394</v>
      </c>
      <c r="G23">
        <v>0.77366582392804795</v>
      </c>
      <c r="H23">
        <v>9.64075850960878</v>
      </c>
      <c r="I23">
        <v>10.6864828683951</v>
      </c>
      <c r="J23">
        <v>1.0457243587863401</v>
      </c>
      <c r="K23">
        <v>82</v>
      </c>
      <c r="L23">
        <v>72</v>
      </c>
      <c r="M23">
        <v>26</v>
      </c>
    </row>
    <row r="24" spans="1:13" x14ac:dyDescent="0.35">
      <c r="A24" t="s">
        <v>3</v>
      </c>
      <c r="B24">
        <v>4.11294460351876</v>
      </c>
      <c r="C24">
        <v>7.7930201645482704</v>
      </c>
      <c r="D24">
        <v>-3.6800755610295099</v>
      </c>
      <c r="E24">
        <v>8.7444355843239894</v>
      </c>
      <c r="F24">
        <v>9.5400520598160394</v>
      </c>
      <c r="G24">
        <v>0.77366582392804795</v>
      </c>
      <c r="H24">
        <v>9.64075850960878</v>
      </c>
      <c r="I24">
        <v>10.6864828683951</v>
      </c>
      <c r="J24">
        <v>1.0457243587863401</v>
      </c>
      <c r="K24">
        <v>47</v>
      </c>
      <c r="L24">
        <v>5</v>
      </c>
      <c r="M24">
        <v>5</v>
      </c>
    </row>
    <row r="25" spans="1:13" x14ac:dyDescent="0.35">
      <c r="A25" t="s">
        <v>59</v>
      </c>
      <c r="B25">
        <v>6.8377889927027198</v>
      </c>
      <c r="C25">
        <v>5.7132331742319904</v>
      </c>
      <c r="D25">
        <v>1.1245558184707301</v>
      </c>
      <c r="E25">
        <v>8.7444355843239894</v>
      </c>
      <c r="F25">
        <v>9.5400520598160394</v>
      </c>
      <c r="G25">
        <v>0.77366582392804795</v>
      </c>
      <c r="H25">
        <v>9.64075850960878</v>
      </c>
      <c r="I25">
        <v>10.6864828683951</v>
      </c>
      <c r="J25">
        <v>1.0457243587863401</v>
      </c>
      <c r="K25">
        <v>23</v>
      </c>
      <c r="L25">
        <v>26</v>
      </c>
      <c r="M25">
        <v>63</v>
      </c>
    </row>
    <row r="26" spans="1:13" x14ac:dyDescent="0.35">
      <c r="A26" t="s">
        <v>60</v>
      </c>
      <c r="B26">
        <v>7.8214987183328404</v>
      </c>
      <c r="C26">
        <v>7.3646071092241199</v>
      </c>
      <c r="D26">
        <v>0.45689160910872001</v>
      </c>
      <c r="E26">
        <v>8.7444355843239894</v>
      </c>
      <c r="F26">
        <v>9.5400520598160394</v>
      </c>
      <c r="G26">
        <v>0.77366582392804795</v>
      </c>
      <c r="H26">
        <v>9.64075850960878</v>
      </c>
      <c r="I26">
        <v>10.6864828683951</v>
      </c>
      <c r="J26">
        <v>1.0457243587863401</v>
      </c>
      <c r="K26">
        <v>37</v>
      </c>
      <c r="L26">
        <v>38</v>
      </c>
      <c r="M26">
        <v>44</v>
      </c>
    </row>
    <row r="27" spans="1:13" x14ac:dyDescent="0.35">
      <c r="A27" t="s">
        <v>61</v>
      </c>
      <c r="B27">
        <v>12.0573810189701</v>
      </c>
      <c r="C27">
        <v>12.6792668500871</v>
      </c>
      <c r="D27">
        <v>-0.62188583111694096</v>
      </c>
      <c r="E27">
        <v>8.7444355843239894</v>
      </c>
      <c r="F27">
        <v>9.5400520598160394</v>
      </c>
      <c r="G27">
        <v>0.77366582392804795</v>
      </c>
      <c r="H27">
        <v>9.64075850960878</v>
      </c>
      <c r="I27">
        <v>10.6864828683951</v>
      </c>
      <c r="J27">
        <v>1.0457243587863401</v>
      </c>
      <c r="K27">
        <v>83</v>
      </c>
      <c r="L27">
        <v>77</v>
      </c>
      <c r="M27">
        <v>28</v>
      </c>
    </row>
    <row r="28" spans="1:13" x14ac:dyDescent="0.35">
      <c r="A28" t="s">
        <v>62</v>
      </c>
      <c r="B28">
        <v>5.5757575757575797</v>
      </c>
      <c r="C28">
        <v>3.7584345479082302</v>
      </c>
      <c r="D28">
        <v>1.81732302784934</v>
      </c>
      <c r="E28">
        <v>8.7444355843239894</v>
      </c>
      <c r="F28">
        <v>9.5400520598160394</v>
      </c>
      <c r="G28">
        <v>0.77366582392804795</v>
      </c>
      <c r="H28">
        <v>9.64075850960878</v>
      </c>
      <c r="I28">
        <v>10.6864828683951</v>
      </c>
      <c r="J28">
        <v>1.0457243587863401</v>
      </c>
      <c r="K28">
        <v>11</v>
      </c>
      <c r="L28">
        <v>14</v>
      </c>
      <c r="M28">
        <v>77</v>
      </c>
    </row>
    <row r="29" spans="1:13" x14ac:dyDescent="0.35">
      <c r="A29" t="s">
        <v>63</v>
      </c>
      <c r="B29">
        <v>34.661743189577102</v>
      </c>
      <c r="C29">
        <v>29.544592030360501</v>
      </c>
      <c r="D29">
        <v>5.1171511592165597</v>
      </c>
      <c r="E29">
        <v>8.7444355843239894</v>
      </c>
      <c r="F29">
        <v>9.5400520598160394</v>
      </c>
      <c r="G29">
        <v>0.77366582392804795</v>
      </c>
      <c r="H29">
        <v>9.64075850960878</v>
      </c>
      <c r="I29">
        <v>10.6864828683951</v>
      </c>
      <c r="J29">
        <v>1.0457243587863401</v>
      </c>
      <c r="K29">
        <v>108</v>
      </c>
      <c r="L29">
        <v>107</v>
      </c>
      <c r="M29">
        <v>101</v>
      </c>
    </row>
    <row r="30" spans="1:13" x14ac:dyDescent="0.35">
      <c r="A30" t="s">
        <v>64</v>
      </c>
      <c r="B30">
        <v>9.5263169944366908</v>
      </c>
      <c r="C30">
        <v>11.00996572155</v>
      </c>
      <c r="D30">
        <v>-1.4836487271133401</v>
      </c>
      <c r="E30">
        <v>8.7444355843239894</v>
      </c>
      <c r="F30">
        <v>9.5400520598160394</v>
      </c>
      <c r="G30">
        <v>0.77366582392804795</v>
      </c>
      <c r="H30">
        <v>9.64075850960878</v>
      </c>
      <c r="I30">
        <v>10.6864828683951</v>
      </c>
      <c r="J30">
        <v>1.0457243587863401</v>
      </c>
      <c r="K30">
        <v>76</v>
      </c>
      <c r="L30">
        <v>54</v>
      </c>
      <c r="M30">
        <v>19</v>
      </c>
    </row>
    <row r="31" spans="1:13" x14ac:dyDescent="0.35">
      <c r="A31" t="s">
        <v>65</v>
      </c>
      <c r="B31">
        <v>8.41267585618872</v>
      </c>
      <c r="C31">
        <v>6.22751290116984</v>
      </c>
      <c r="D31">
        <v>2.1851629550188698</v>
      </c>
      <c r="E31">
        <v>8.7444355843239894</v>
      </c>
      <c r="F31">
        <v>9.5400520598160394</v>
      </c>
      <c r="G31">
        <v>0.77366582392804795</v>
      </c>
      <c r="H31">
        <v>9.64075850960878</v>
      </c>
      <c r="I31">
        <v>10.6864828683951</v>
      </c>
      <c r="J31">
        <v>1.0457243587863401</v>
      </c>
      <c r="K31">
        <v>29</v>
      </c>
      <c r="L31">
        <v>41</v>
      </c>
      <c r="M31">
        <v>81</v>
      </c>
    </row>
    <row r="32" spans="1:13" x14ac:dyDescent="0.35">
      <c r="A32" t="s">
        <v>66</v>
      </c>
      <c r="B32">
        <v>4.5888075138368603</v>
      </c>
      <c r="C32">
        <v>5.7340287698083099</v>
      </c>
      <c r="D32">
        <v>-1.1452212559714501</v>
      </c>
      <c r="E32">
        <v>8.7444355843239894</v>
      </c>
      <c r="F32">
        <v>9.5400520598160394</v>
      </c>
      <c r="G32">
        <v>0.77366582392804795</v>
      </c>
      <c r="H32">
        <v>9.64075850960878</v>
      </c>
      <c r="I32">
        <v>10.6864828683951</v>
      </c>
      <c r="J32">
        <v>1.0457243587863401</v>
      </c>
      <c r="K32">
        <v>25</v>
      </c>
      <c r="L32">
        <v>10</v>
      </c>
      <c r="M32">
        <v>22</v>
      </c>
    </row>
    <row r="33" spans="1:13" x14ac:dyDescent="0.35">
      <c r="A33" t="s">
        <v>67</v>
      </c>
      <c r="B33">
        <v>14.9622512010981</v>
      </c>
      <c r="C33">
        <v>14.201927105152899</v>
      </c>
      <c r="D33">
        <v>0.76032409594523598</v>
      </c>
      <c r="E33">
        <v>8.7444355843239894</v>
      </c>
      <c r="F33">
        <v>9.5400520598160394</v>
      </c>
      <c r="G33">
        <v>0.77366582392804795</v>
      </c>
      <c r="H33">
        <v>9.64075850960878</v>
      </c>
      <c r="I33">
        <v>10.6864828683951</v>
      </c>
      <c r="J33">
        <v>1.0457243587863401</v>
      </c>
      <c r="K33">
        <v>90</v>
      </c>
      <c r="L33">
        <v>92</v>
      </c>
      <c r="M33">
        <v>54</v>
      </c>
    </row>
    <row r="34" spans="1:13" x14ac:dyDescent="0.35">
      <c r="A34" t="s">
        <v>68</v>
      </c>
      <c r="B34">
        <v>8.5997716243220097</v>
      </c>
      <c r="C34">
        <v>9.3472186944373892</v>
      </c>
      <c r="D34">
        <v>-0.74744707011537903</v>
      </c>
      <c r="E34">
        <v>8.7444355843239894</v>
      </c>
      <c r="F34">
        <v>9.5400520598160394</v>
      </c>
      <c r="G34">
        <v>0.77366582392804795</v>
      </c>
      <c r="H34">
        <v>9.64075850960878</v>
      </c>
      <c r="I34">
        <v>10.6864828683951</v>
      </c>
      <c r="J34">
        <v>1.0457243587863401</v>
      </c>
      <c r="K34">
        <v>59</v>
      </c>
      <c r="L34">
        <v>43</v>
      </c>
      <c r="M34">
        <v>24</v>
      </c>
    </row>
    <row r="35" spans="1:13" x14ac:dyDescent="0.35">
      <c r="A35" t="s">
        <v>69</v>
      </c>
      <c r="B35">
        <v>9.3594100928189494</v>
      </c>
      <c r="C35">
        <v>9.2537465074930108</v>
      </c>
      <c r="D35">
        <v>0.10566358532594</v>
      </c>
      <c r="E35">
        <v>8.7444355843239894</v>
      </c>
      <c r="F35">
        <v>9.5400520598160394</v>
      </c>
      <c r="G35">
        <v>0.77366582392804795</v>
      </c>
      <c r="H35">
        <v>9.64075850960878</v>
      </c>
      <c r="I35">
        <v>10.6864828683951</v>
      </c>
      <c r="J35">
        <v>1.0457243587863401</v>
      </c>
      <c r="K35">
        <v>57</v>
      </c>
      <c r="L35">
        <v>51</v>
      </c>
      <c r="M35">
        <v>38</v>
      </c>
    </row>
    <row r="36" spans="1:13" x14ac:dyDescent="0.35">
      <c r="A36" t="s">
        <v>70</v>
      </c>
      <c r="B36">
        <v>20.291642327080801</v>
      </c>
      <c r="C36">
        <v>17.616076150185101</v>
      </c>
      <c r="D36">
        <v>2.6755661768956802</v>
      </c>
      <c r="E36">
        <v>8.7444355843239894</v>
      </c>
      <c r="F36">
        <v>9.5400520598160394</v>
      </c>
      <c r="G36">
        <v>0.77366582392804795</v>
      </c>
      <c r="H36">
        <v>9.64075850960878</v>
      </c>
      <c r="I36">
        <v>10.6864828683951</v>
      </c>
      <c r="J36">
        <v>1.0457243587863401</v>
      </c>
      <c r="K36">
        <v>103</v>
      </c>
      <c r="L36">
        <v>104</v>
      </c>
      <c r="M36">
        <v>86</v>
      </c>
    </row>
    <row r="37" spans="1:13" x14ac:dyDescent="0.35">
      <c r="A37" t="s">
        <v>71</v>
      </c>
      <c r="B37">
        <v>10.1393463876538</v>
      </c>
      <c r="C37">
        <v>6.6523297491039397</v>
      </c>
      <c r="D37">
        <v>3.48701663854983</v>
      </c>
      <c r="E37">
        <v>8.7444355843239894</v>
      </c>
      <c r="F37">
        <v>9.5400520598160394</v>
      </c>
      <c r="G37">
        <v>0.77366582392804795</v>
      </c>
      <c r="H37">
        <v>9.64075850960878</v>
      </c>
      <c r="I37">
        <v>10.6864828683951</v>
      </c>
      <c r="J37">
        <v>1.0457243587863401</v>
      </c>
      <c r="K37">
        <v>32</v>
      </c>
      <c r="L37">
        <v>62</v>
      </c>
      <c r="M37">
        <v>92</v>
      </c>
    </row>
    <row r="38" spans="1:13" x14ac:dyDescent="0.35">
      <c r="A38" t="s">
        <v>72</v>
      </c>
      <c r="B38">
        <v>16.5001256305688</v>
      </c>
      <c r="C38">
        <v>15.468163359129599</v>
      </c>
      <c r="D38">
        <v>1.03196227143924</v>
      </c>
      <c r="E38">
        <v>8.7444355843239894</v>
      </c>
      <c r="F38">
        <v>9.5400520598160394</v>
      </c>
      <c r="G38">
        <v>0.77366582392804795</v>
      </c>
      <c r="H38">
        <v>9.64075850960878</v>
      </c>
      <c r="I38">
        <v>10.6864828683951</v>
      </c>
      <c r="J38">
        <v>1.0457243587863401</v>
      </c>
      <c r="K38">
        <v>96</v>
      </c>
      <c r="L38">
        <v>95</v>
      </c>
      <c r="M38">
        <v>61</v>
      </c>
    </row>
    <row r="39" spans="1:13" x14ac:dyDescent="0.35">
      <c r="A39" t="s">
        <v>73</v>
      </c>
      <c r="B39">
        <v>9.5016379629696903</v>
      </c>
      <c r="C39">
        <v>8.7482229485131402</v>
      </c>
      <c r="D39">
        <v>0.75341501445654702</v>
      </c>
      <c r="E39">
        <v>8.7444355843239894</v>
      </c>
      <c r="F39">
        <v>9.5400520598160394</v>
      </c>
      <c r="G39">
        <v>0.77366582392804795</v>
      </c>
      <c r="H39">
        <v>9.64075850960878</v>
      </c>
      <c r="I39">
        <v>10.6864828683951</v>
      </c>
      <c r="J39">
        <v>1.0457243587863401</v>
      </c>
      <c r="K39">
        <v>55</v>
      </c>
      <c r="L39">
        <v>53</v>
      </c>
      <c r="M39">
        <v>53</v>
      </c>
    </row>
    <row r="40" spans="1:13" x14ac:dyDescent="0.35">
      <c r="A40" t="s">
        <v>74</v>
      </c>
      <c r="B40">
        <v>14.6587874541818</v>
      </c>
      <c r="C40">
        <v>10.7740190232409</v>
      </c>
      <c r="D40">
        <v>3.8847684309408401</v>
      </c>
      <c r="E40">
        <v>8.7444355843239894</v>
      </c>
      <c r="F40">
        <v>9.5400520598160394</v>
      </c>
      <c r="G40">
        <v>0.77366582392804795</v>
      </c>
      <c r="H40">
        <v>9.64075850960878</v>
      </c>
      <c r="I40">
        <v>10.6864828683951</v>
      </c>
      <c r="J40">
        <v>1.0457243587863401</v>
      </c>
      <c r="K40">
        <v>74</v>
      </c>
      <c r="L40">
        <v>90</v>
      </c>
      <c r="M40">
        <v>95</v>
      </c>
    </row>
    <row r="41" spans="1:13" x14ac:dyDescent="0.35">
      <c r="A41" t="s">
        <v>75</v>
      </c>
      <c r="B41">
        <v>13.830268314742201</v>
      </c>
      <c r="C41">
        <v>7.9845220820776097</v>
      </c>
      <c r="D41">
        <v>5.8457462326646201</v>
      </c>
      <c r="E41">
        <v>8.7444355843239894</v>
      </c>
      <c r="F41">
        <v>9.5400520598160394</v>
      </c>
      <c r="G41">
        <v>0.77366582392804795</v>
      </c>
      <c r="H41">
        <v>9.64075850960878</v>
      </c>
      <c r="I41">
        <v>10.6864828683951</v>
      </c>
      <c r="J41">
        <v>1.0457243587863401</v>
      </c>
      <c r="K41">
        <v>50</v>
      </c>
      <c r="L41">
        <v>87</v>
      </c>
      <c r="M41">
        <v>102</v>
      </c>
    </row>
    <row r="42" spans="1:13" x14ac:dyDescent="0.35">
      <c r="A42" t="s">
        <v>76</v>
      </c>
      <c r="B42">
        <v>6.6417519013899797</v>
      </c>
      <c r="C42">
        <v>8.2833186722638494</v>
      </c>
      <c r="D42">
        <v>-1.6415667708738699</v>
      </c>
      <c r="E42">
        <v>8.7444355843239894</v>
      </c>
      <c r="F42">
        <v>9.5400520598160394</v>
      </c>
      <c r="G42">
        <v>0.77366582392804795</v>
      </c>
      <c r="H42">
        <v>9.64075850960878</v>
      </c>
      <c r="I42">
        <v>10.6864828683951</v>
      </c>
      <c r="J42">
        <v>1.0457243587863401</v>
      </c>
      <c r="K42">
        <v>51</v>
      </c>
      <c r="L42">
        <v>23</v>
      </c>
      <c r="M42">
        <v>16</v>
      </c>
    </row>
    <row r="43" spans="1:13" x14ac:dyDescent="0.35">
      <c r="A43" t="s">
        <v>77</v>
      </c>
      <c r="B43">
        <v>6.8737030748915302</v>
      </c>
      <c r="C43">
        <v>3.5965368356805398</v>
      </c>
      <c r="D43">
        <v>3.2771662392109899</v>
      </c>
      <c r="E43">
        <v>8.7444355843239894</v>
      </c>
      <c r="F43">
        <v>9.5400520598160394</v>
      </c>
      <c r="G43">
        <v>0.77366582392804795</v>
      </c>
      <c r="H43">
        <v>9.64075850960878</v>
      </c>
      <c r="I43">
        <v>10.6864828683951</v>
      </c>
      <c r="J43">
        <v>1.0457243587863401</v>
      </c>
      <c r="K43">
        <v>10</v>
      </c>
      <c r="L43">
        <v>27</v>
      </c>
      <c r="M43">
        <v>90</v>
      </c>
    </row>
    <row r="44" spans="1:13" x14ac:dyDescent="0.35">
      <c r="A44" t="s">
        <v>78</v>
      </c>
      <c r="B44">
        <v>5.5154707044107996</v>
      </c>
      <c r="C44">
        <v>7.6868109432421399</v>
      </c>
      <c r="D44">
        <v>-2.1713402388313399</v>
      </c>
      <c r="E44">
        <v>8.7444355843239894</v>
      </c>
      <c r="F44">
        <v>9.5400520598160394</v>
      </c>
      <c r="G44">
        <v>0.77366582392804795</v>
      </c>
      <c r="H44">
        <v>9.64075850960878</v>
      </c>
      <c r="I44">
        <v>10.6864828683951</v>
      </c>
      <c r="J44">
        <v>1.0457243587863401</v>
      </c>
      <c r="K44">
        <v>45</v>
      </c>
      <c r="L44">
        <v>12</v>
      </c>
      <c r="M44">
        <v>13</v>
      </c>
    </row>
    <row r="45" spans="1:13" x14ac:dyDescent="0.35">
      <c r="A45" t="s">
        <v>4</v>
      </c>
      <c r="B45">
        <v>3.2466685790283498</v>
      </c>
      <c r="C45">
        <v>10.570061736643799</v>
      </c>
      <c r="D45">
        <v>-7.3233931576154196</v>
      </c>
      <c r="E45">
        <v>8.7444355843239894</v>
      </c>
      <c r="F45">
        <v>9.5400520598160394</v>
      </c>
      <c r="G45">
        <v>0.77366582392804795</v>
      </c>
      <c r="H45">
        <v>9.64075850960878</v>
      </c>
      <c r="I45">
        <v>10.6864828683951</v>
      </c>
      <c r="J45">
        <v>1.0457243587863401</v>
      </c>
      <c r="K45">
        <v>71</v>
      </c>
      <c r="L45">
        <v>3</v>
      </c>
      <c r="M45">
        <v>1</v>
      </c>
    </row>
    <row r="46" spans="1:13" x14ac:dyDescent="0.35">
      <c r="A46" t="s">
        <v>79</v>
      </c>
      <c r="B46">
        <v>4.2526881720430101</v>
      </c>
      <c r="C46">
        <v>3.55101580983139</v>
      </c>
      <c r="D46">
        <v>0.70167236221162399</v>
      </c>
      <c r="E46">
        <v>8.7444355843239894</v>
      </c>
      <c r="F46">
        <v>9.5400520598160394</v>
      </c>
      <c r="G46">
        <v>0.77366582392804795</v>
      </c>
      <c r="H46">
        <v>9.64075850960878</v>
      </c>
      <c r="I46">
        <v>10.6864828683951</v>
      </c>
      <c r="J46">
        <v>1.0457243587863401</v>
      </c>
      <c r="K46">
        <v>8</v>
      </c>
      <c r="L46">
        <v>6</v>
      </c>
      <c r="M46">
        <v>51</v>
      </c>
    </row>
    <row r="47" spans="1:13" x14ac:dyDescent="0.35">
      <c r="A47" t="s">
        <v>80</v>
      </c>
      <c r="B47">
        <v>8.6103408333040807</v>
      </c>
      <c r="C47">
        <v>7.1144241240752599</v>
      </c>
      <c r="D47">
        <v>1.4959167092288299</v>
      </c>
      <c r="E47">
        <v>8.7444355843239894</v>
      </c>
      <c r="F47">
        <v>9.5400520598160394</v>
      </c>
      <c r="G47">
        <v>0.77366582392804795</v>
      </c>
      <c r="H47">
        <v>9.64075850960878</v>
      </c>
      <c r="I47">
        <v>10.6864828683951</v>
      </c>
      <c r="J47">
        <v>1.0457243587863401</v>
      </c>
      <c r="K47">
        <v>36</v>
      </c>
      <c r="L47">
        <v>44</v>
      </c>
      <c r="M47">
        <v>68</v>
      </c>
    </row>
    <row r="48" spans="1:13" x14ac:dyDescent="0.35">
      <c r="A48" t="s">
        <v>81</v>
      </c>
      <c r="B48">
        <v>19.3139512363081</v>
      </c>
      <c r="C48">
        <v>14.2210020590254</v>
      </c>
      <c r="D48">
        <v>5.09294917728268</v>
      </c>
      <c r="E48">
        <v>8.7444355843239894</v>
      </c>
      <c r="F48">
        <v>9.5400520598160394</v>
      </c>
      <c r="G48">
        <v>0.77366582392804795</v>
      </c>
      <c r="H48">
        <v>9.64075850960878</v>
      </c>
      <c r="I48">
        <v>10.6864828683951</v>
      </c>
      <c r="J48">
        <v>1.0457243587863401</v>
      </c>
      <c r="K48">
        <v>91</v>
      </c>
      <c r="L48">
        <v>103</v>
      </c>
      <c r="M48">
        <v>100</v>
      </c>
    </row>
    <row r="49" spans="1:13" x14ac:dyDescent="0.35">
      <c r="A49" t="s">
        <v>5</v>
      </c>
      <c r="B49">
        <v>7.42700497258702</v>
      </c>
      <c r="C49">
        <v>10.048599424356301</v>
      </c>
      <c r="D49">
        <v>-2.6215944517693099</v>
      </c>
      <c r="E49">
        <v>8.7444355843239894</v>
      </c>
      <c r="F49">
        <v>9.5400520598160394</v>
      </c>
      <c r="G49">
        <v>0.77366582392804795</v>
      </c>
      <c r="H49">
        <v>9.64075850960878</v>
      </c>
      <c r="I49">
        <v>10.6864828683951</v>
      </c>
      <c r="J49">
        <v>1.0457243587863401</v>
      </c>
      <c r="K49">
        <v>67</v>
      </c>
      <c r="L49">
        <v>34</v>
      </c>
      <c r="M49">
        <v>10</v>
      </c>
    </row>
    <row r="50" spans="1:13" x14ac:dyDescent="0.35">
      <c r="A50" t="s">
        <v>82</v>
      </c>
      <c r="B50">
        <v>7.8073866292660101</v>
      </c>
      <c r="C50">
        <v>7.4010592200288903</v>
      </c>
      <c r="D50">
        <v>0.40632740923712402</v>
      </c>
      <c r="E50">
        <v>8.7444355843239894</v>
      </c>
      <c r="F50">
        <v>9.5400520598160394</v>
      </c>
      <c r="G50">
        <v>0.77366582392804795</v>
      </c>
      <c r="H50">
        <v>9.64075850960878</v>
      </c>
      <c r="I50">
        <v>10.6864828683951</v>
      </c>
      <c r="J50">
        <v>1.0457243587863401</v>
      </c>
      <c r="K50">
        <v>40</v>
      </c>
      <c r="L50">
        <v>37</v>
      </c>
      <c r="M50">
        <v>41</v>
      </c>
    </row>
    <row r="51" spans="1:13" x14ac:dyDescent="0.35">
      <c r="A51" t="s">
        <v>83</v>
      </c>
      <c r="B51">
        <v>12.3316408744033</v>
      </c>
      <c r="C51">
        <v>2.8269648959304101</v>
      </c>
      <c r="D51">
        <v>9.5046759784729193</v>
      </c>
      <c r="E51">
        <v>8.7444355843239894</v>
      </c>
      <c r="F51">
        <v>9.5400520598160394</v>
      </c>
      <c r="G51">
        <v>0.77366582392804795</v>
      </c>
      <c r="H51">
        <v>9.64075850960878</v>
      </c>
      <c r="I51">
        <v>10.6864828683951</v>
      </c>
      <c r="J51">
        <v>1.0457243587863401</v>
      </c>
      <c r="K51">
        <v>4</v>
      </c>
      <c r="L51">
        <v>78</v>
      </c>
      <c r="M51">
        <v>106</v>
      </c>
    </row>
    <row r="52" spans="1:13" x14ac:dyDescent="0.35">
      <c r="A52" t="s">
        <v>6</v>
      </c>
      <c r="B52">
        <v>11.4884731750969</v>
      </c>
      <c r="C52">
        <v>14.8450116192052</v>
      </c>
      <c r="D52">
        <v>-3.35653844410822</v>
      </c>
      <c r="E52">
        <v>8.7444355843239894</v>
      </c>
      <c r="F52">
        <v>9.5400520598160394</v>
      </c>
      <c r="G52">
        <v>0.77366582392804795</v>
      </c>
      <c r="H52">
        <v>9.64075850960878</v>
      </c>
      <c r="I52">
        <v>10.6864828683951</v>
      </c>
      <c r="J52">
        <v>1.0457243587863401</v>
      </c>
      <c r="K52">
        <v>95</v>
      </c>
      <c r="L52">
        <v>71</v>
      </c>
      <c r="M52">
        <v>6</v>
      </c>
    </row>
    <row r="53" spans="1:13" x14ac:dyDescent="0.35">
      <c r="A53" t="s">
        <v>84</v>
      </c>
      <c r="B53">
        <v>7.3953050661368804</v>
      </c>
      <c r="C53">
        <v>7.3830807099365199</v>
      </c>
      <c r="D53">
        <v>1.22243562003552E-2</v>
      </c>
      <c r="E53">
        <v>8.7444355843239894</v>
      </c>
      <c r="F53">
        <v>9.5400520598160394</v>
      </c>
      <c r="G53">
        <v>0.77366582392804795</v>
      </c>
      <c r="H53">
        <v>9.64075850960878</v>
      </c>
      <c r="I53">
        <v>10.6864828683951</v>
      </c>
      <c r="J53">
        <v>1.0457243587863401</v>
      </c>
      <c r="K53">
        <v>39</v>
      </c>
      <c r="L53">
        <v>33</v>
      </c>
      <c r="M53">
        <v>34</v>
      </c>
    </row>
    <row r="54" spans="1:13" x14ac:dyDescent="0.35">
      <c r="A54" t="s">
        <v>85</v>
      </c>
      <c r="B54">
        <v>13.6891937001184</v>
      </c>
      <c r="C54">
        <v>13.177270776240601</v>
      </c>
      <c r="D54">
        <v>0.51192292387771898</v>
      </c>
      <c r="E54">
        <v>8.7444355843239894</v>
      </c>
      <c r="F54">
        <v>9.5400520598160394</v>
      </c>
      <c r="G54">
        <v>0.77366582392804795</v>
      </c>
      <c r="H54">
        <v>9.64075850960878</v>
      </c>
      <c r="I54">
        <v>10.6864828683951</v>
      </c>
      <c r="J54">
        <v>1.0457243587863401</v>
      </c>
      <c r="K54">
        <v>84</v>
      </c>
      <c r="L54">
        <v>86</v>
      </c>
      <c r="M54">
        <v>48</v>
      </c>
    </row>
    <row r="55" spans="1:13" x14ac:dyDescent="0.35">
      <c r="A55" t="s">
        <v>86</v>
      </c>
      <c r="B55">
        <v>30.7720188474085</v>
      </c>
      <c r="C55">
        <v>27.3078768379759</v>
      </c>
      <c r="D55">
        <v>3.4641420094325901</v>
      </c>
      <c r="E55">
        <v>8.7444355843239894</v>
      </c>
      <c r="F55">
        <v>9.5400520598160394</v>
      </c>
      <c r="G55">
        <v>0.77366582392804795</v>
      </c>
      <c r="H55">
        <v>9.64075850960878</v>
      </c>
      <c r="I55">
        <v>10.6864828683951</v>
      </c>
      <c r="J55">
        <v>1.0457243587863401</v>
      </c>
      <c r="K55">
        <v>106</v>
      </c>
      <c r="L55">
        <v>106</v>
      </c>
      <c r="M55">
        <v>91</v>
      </c>
    </row>
    <row r="56" spans="1:13" x14ac:dyDescent="0.35">
      <c r="A56" t="s">
        <v>87</v>
      </c>
      <c r="B56">
        <v>8.8047038670324191</v>
      </c>
      <c r="C56">
        <v>11.3035430988895</v>
      </c>
      <c r="D56">
        <v>-2.49883923185706</v>
      </c>
      <c r="E56">
        <v>8.7444355843239894</v>
      </c>
      <c r="F56">
        <v>9.5400520598160394</v>
      </c>
      <c r="G56">
        <v>0.77366582392804795</v>
      </c>
      <c r="H56">
        <v>9.64075850960878</v>
      </c>
      <c r="I56">
        <v>10.6864828683951</v>
      </c>
      <c r="J56">
        <v>1.0457243587863401</v>
      </c>
      <c r="K56">
        <v>79</v>
      </c>
      <c r="L56">
        <v>46</v>
      </c>
      <c r="M56">
        <v>11</v>
      </c>
    </row>
    <row r="57" spans="1:13" x14ac:dyDescent="0.35">
      <c r="A57" t="s">
        <v>88</v>
      </c>
      <c r="B57">
        <v>10.0219972990658</v>
      </c>
      <c r="C57">
        <v>9.9169560205159399</v>
      </c>
      <c r="D57">
        <v>0.10504127854987499</v>
      </c>
      <c r="E57">
        <v>8.7444355843239894</v>
      </c>
      <c r="F57">
        <v>9.5400520598160394</v>
      </c>
      <c r="G57">
        <v>0.77366582392804795</v>
      </c>
      <c r="H57">
        <v>9.64075850960878</v>
      </c>
      <c r="I57">
        <v>10.6864828683951</v>
      </c>
      <c r="J57">
        <v>1.0457243587863401</v>
      </c>
      <c r="K57">
        <v>64</v>
      </c>
      <c r="L57">
        <v>61</v>
      </c>
      <c r="M57">
        <v>37</v>
      </c>
    </row>
    <row r="58" spans="1:13" x14ac:dyDescent="0.35">
      <c r="A58" t="s">
        <v>89</v>
      </c>
      <c r="B58">
        <v>12.4350230414747</v>
      </c>
      <c r="C58">
        <v>2.4344672198714101</v>
      </c>
      <c r="D58">
        <v>10.0005558216032</v>
      </c>
      <c r="E58">
        <v>8.7444355843239894</v>
      </c>
      <c r="F58">
        <v>9.5400520598160394</v>
      </c>
      <c r="G58">
        <v>0.77366582392804795</v>
      </c>
      <c r="H58">
        <v>9.64075850960878</v>
      </c>
      <c r="I58">
        <v>10.6864828683951</v>
      </c>
      <c r="J58">
        <v>1.0457243587863401</v>
      </c>
      <c r="K58">
        <v>2</v>
      </c>
      <c r="L58">
        <v>80</v>
      </c>
      <c r="M58">
        <v>107</v>
      </c>
    </row>
    <row r="59" spans="1:13" x14ac:dyDescent="0.35">
      <c r="A59" t="s">
        <v>90</v>
      </c>
      <c r="B59">
        <v>6.4987049682128601</v>
      </c>
      <c r="C59">
        <v>4.4481135562729497</v>
      </c>
      <c r="D59">
        <v>2.05059141193991</v>
      </c>
      <c r="E59">
        <v>8.7444355843239894</v>
      </c>
      <c r="F59">
        <v>9.5400520598160394</v>
      </c>
      <c r="G59">
        <v>0.77366582392804795</v>
      </c>
      <c r="H59">
        <v>9.64075850960878</v>
      </c>
      <c r="I59">
        <v>10.6864828683951</v>
      </c>
      <c r="J59">
        <v>1.0457243587863401</v>
      </c>
      <c r="K59">
        <v>15</v>
      </c>
      <c r="L59">
        <v>19</v>
      </c>
      <c r="M59">
        <v>78</v>
      </c>
    </row>
    <row r="60" spans="1:13" x14ac:dyDescent="0.35">
      <c r="A60" t="s">
        <v>91</v>
      </c>
      <c r="B60">
        <v>11.073476702509</v>
      </c>
      <c r="C60">
        <v>10.4331355457199</v>
      </c>
      <c r="D60">
        <v>0.64034115678909698</v>
      </c>
      <c r="E60">
        <v>8.7444355843239894</v>
      </c>
      <c r="F60">
        <v>9.5400520598160394</v>
      </c>
      <c r="G60">
        <v>0.77366582392804795</v>
      </c>
      <c r="H60">
        <v>9.64075850960878</v>
      </c>
      <c r="I60">
        <v>10.6864828683951</v>
      </c>
      <c r="J60">
        <v>1.0457243587863401</v>
      </c>
      <c r="K60">
        <v>70</v>
      </c>
      <c r="L60">
        <v>68</v>
      </c>
      <c r="M60">
        <v>50</v>
      </c>
    </row>
    <row r="61" spans="1:13" x14ac:dyDescent="0.35">
      <c r="A61" t="s">
        <v>92</v>
      </c>
      <c r="B61">
        <v>18.0562672632513</v>
      </c>
      <c r="C61">
        <v>8.7406482201348403</v>
      </c>
      <c r="D61">
        <v>9.3156190431164596</v>
      </c>
      <c r="E61">
        <v>8.7444355843239894</v>
      </c>
      <c r="F61">
        <v>9.5400520598160394</v>
      </c>
      <c r="G61">
        <v>0.77366582392804795</v>
      </c>
      <c r="H61">
        <v>9.64075850960878</v>
      </c>
      <c r="I61">
        <v>10.6864828683951</v>
      </c>
      <c r="J61">
        <v>1.0457243587863401</v>
      </c>
      <c r="K61">
        <v>54</v>
      </c>
      <c r="L61">
        <v>100</v>
      </c>
      <c r="M61">
        <v>105</v>
      </c>
    </row>
    <row r="62" spans="1:13" x14ac:dyDescent="0.35">
      <c r="A62" t="s">
        <v>93</v>
      </c>
      <c r="B62">
        <v>10.8890831082155</v>
      </c>
      <c r="C62">
        <v>7.9077461673110596</v>
      </c>
      <c r="D62">
        <v>2.9813369409044199</v>
      </c>
      <c r="E62">
        <v>8.7444355843239894</v>
      </c>
      <c r="F62">
        <v>9.5400520598160394</v>
      </c>
      <c r="G62">
        <v>0.77366582392804795</v>
      </c>
      <c r="H62">
        <v>9.64075850960878</v>
      </c>
      <c r="I62">
        <v>10.6864828683951</v>
      </c>
      <c r="J62">
        <v>1.0457243587863401</v>
      </c>
      <c r="K62">
        <v>49</v>
      </c>
      <c r="L62">
        <v>66</v>
      </c>
      <c r="M62">
        <v>88</v>
      </c>
    </row>
    <row r="63" spans="1:13" x14ac:dyDescent="0.35">
      <c r="A63" t="s">
        <v>94</v>
      </c>
      <c r="B63">
        <v>7.33940454196164</v>
      </c>
      <c r="C63">
        <v>5.7190791003621104</v>
      </c>
      <c r="D63">
        <v>1.6203254415995301</v>
      </c>
      <c r="E63">
        <v>8.7444355843239894</v>
      </c>
      <c r="F63">
        <v>9.5400520598160394</v>
      </c>
      <c r="G63">
        <v>0.77366582392804795</v>
      </c>
      <c r="H63">
        <v>9.64075850960878</v>
      </c>
      <c r="I63">
        <v>10.6864828683951</v>
      </c>
      <c r="J63">
        <v>1.0457243587863401</v>
      </c>
      <c r="K63">
        <v>24</v>
      </c>
      <c r="L63">
        <v>32</v>
      </c>
      <c r="M63">
        <v>73</v>
      </c>
    </row>
    <row r="64" spans="1:13" x14ac:dyDescent="0.35">
      <c r="A64" t="s">
        <v>95</v>
      </c>
      <c r="B64">
        <v>13.0785810835495</v>
      </c>
      <c r="C64">
        <v>5.2099882572356204</v>
      </c>
      <c r="D64">
        <v>7.8685928263138702</v>
      </c>
      <c r="E64">
        <v>8.7444355843239894</v>
      </c>
      <c r="F64">
        <v>9.5400520598160394</v>
      </c>
      <c r="G64">
        <v>0.77366582392804795</v>
      </c>
      <c r="H64">
        <v>9.64075850960878</v>
      </c>
      <c r="I64">
        <v>10.6864828683951</v>
      </c>
      <c r="J64">
        <v>1.0457243587863401</v>
      </c>
      <c r="K64">
        <v>20</v>
      </c>
      <c r="L64">
        <v>82</v>
      </c>
      <c r="M64">
        <v>104</v>
      </c>
    </row>
    <row r="65" spans="1:13" x14ac:dyDescent="0.35">
      <c r="A65" t="s">
        <v>96</v>
      </c>
      <c r="B65">
        <v>16.768467264745201</v>
      </c>
      <c r="C65">
        <v>13.2244099986035</v>
      </c>
      <c r="D65">
        <v>3.5440572661416301</v>
      </c>
      <c r="E65">
        <v>8.7444355843239894</v>
      </c>
      <c r="F65">
        <v>9.5400520598160394</v>
      </c>
      <c r="G65">
        <v>0.77366582392804795</v>
      </c>
      <c r="H65">
        <v>9.64075850960878</v>
      </c>
      <c r="I65">
        <v>10.6864828683951</v>
      </c>
      <c r="J65">
        <v>1.0457243587863401</v>
      </c>
      <c r="K65">
        <v>85</v>
      </c>
      <c r="L65">
        <v>96</v>
      </c>
      <c r="M65">
        <v>93</v>
      </c>
    </row>
    <row r="66" spans="1:13" x14ac:dyDescent="0.35">
      <c r="A66" t="s">
        <v>97</v>
      </c>
      <c r="B66">
        <v>12.350186400468299</v>
      </c>
      <c r="C66">
        <v>8.33805838633055</v>
      </c>
      <c r="D66">
        <v>4.01212801413776</v>
      </c>
      <c r="E66">
        <v>8.7444355843239894</v>
      </c>
      <c r="F66">
        <v>9.5400520598160394</v>
      </c>
      <c r="G66">
        <v>0.77366582392804795</v>
      </c>
      <c r="H66">
        <v>9.64075850960878</v>
      </c>
      <c r="I66">
        <v>10.6864828683951</v>
      </c>
      <c r="J66">
        <v>1.0457243587863401</v>
      </c>
      <c r="K66">
        <v>52</v>
      </c>
      <c r="L66">
        <v>79</v>
      </c>
      <c r="M66">
        <v>96</v>
      </c>
    </row>
    <row r="67" spans="1:13" x14ac:dyDescent="0.35">
      <c r="A67" t="s">
        <v>98</v>
      </c>
      <c r="B67">
        <v>38.5946343932631</v>
      </c>
      <c r="C67">
        <v>28.2062237413658</v>
      </c>
      <c r="D67">
        <v>10.388410651897299</v>
      </c>
      <c r="E67">
        <v>8.7444355843239894</v>
      </c>
      <c r="F67">
        <v>9.5400520598160394</v>
      </c>
      <c r="G67">
        <v>0.77366582392804795</v>
      </c>
      <c r="H67">
        <v>9.64075850960878</v>
      </c>
      <c r="I67">
        <v>10.6864828683951</v>
      </c>
      <c r="J67">
        <v>1.0457243587863401</v>
      </c>
      <c r="K67">
        <v>107</v>
      </c>
      <c r="L67">
        <v>108</v>
      </c>
      <c r="M67">
        <v>108</v>
      </c>
    </row>
    <row r="68" spans="1:13" x14ac:dyDescent="0.35">
      <c r="A68" t="s">
        <v>99</v>
      </c>
      <c r="B68">
        <v>3.09139784946237</v>
      </c>
      <c r="C68">
        <v>2.8360673786194002</v>
      </c>
      <c r="D68">
        <v>0.25533047084296701</v>
      </c>
      <c r="E68">
        <v>8.7444355843239894</v>
      </c>
      <c r="F68">
        <v>9.5400520598160394</v>
      </c>
      <c r="G68">
        <v>0.77366582392804795</v>
      </c>
      <c r="H68">
        <v>9.64075850960878</v>
      </c>
      <c r="I68">
        <v>10.6864828683951</v>
      </c>
      <c r="J68">
        <v>1.0457243587863401</v>
      </c>
      <c r="K68">
        <v>5</v>
      </c>
      <c r="L68">
        <v>2</v>
      </c>
      <c r="M68">
        <v>39</v>
      </c>
    </row>
    <row r="69" spans="1:13" x14ac:dyDescent="0.35">
      <c r="A69" t="s">
        <v>100</v>
      </c>
      <c r="B69">
        <v>17.546194801127498</v>
      </c>
      <c r="C69">
        <v>13.8744996468095</v>
      </c>
      <c r="D69">
        <v>3.6716951543179599</v>
      </c>
      <c r="E69">
        <v>8.7444355843239894</v>
      </c>
      <c r="F69">
        <v>9.5400520598160394</v>
      </c>
      <c r="G69">
        <v>0.77366582392804795</v>
      </c>
      <c r="H69">
        <v>9.64075850960878</v>
      </c>
      <c r="I69">
        <v>10.6864828683951</v>
      </c>
      <c r="J69">
        <v>1.0457243587863401</v>
      </c>
      <c r="K69">
        <v>88</v>
      </c>
      <c r="L69">
        <v>98</v>
      </c>
      <c r="M69">
        <v>94</v>
      </c>
    </row>
    <row r="70" spans="1:13" x14ac:dyDescent="0.35">
      <c r="A70" t="s">
        <v>101</v>
      </c>
      <c r="B70">
        <v>9.5537871251954005</v>
      </c>
      <c r="C70">
        <v>9.4968757493264899</v>
      </c>
      <c r="D70">
        <v>5.6911375868907002E-2</v>
      </c>
      <c r="E70">
        <v>8.7444355843239894</v>
      </c>
      <c r="F70">
        <v>9.5400520598160394</v>
      </c>
      <c r="G70">
        <v>0.77366582392804795</v>
      </c>
      <c r="H70">
        <v>9.64075850960878</v>
      </c>
      <c r="I70">
        <v>10.6864828683951</v>
      </c>
      <c r="J70">
        <v>1.0457243587863401</v>
      </c>
      <c r="K70">
        <v>60</v>
      </c>
      <c r="L70">
        <v>55</v>
      </c>
      <c r="M70">
        <v>36</v>
      </c>
    </row>
    <row r="71" spans="1:13" x14ac:dyDescent="0.35">
      <c r="A71" t="s">
        <v>102</v>
      </c>
      <c r="B71">
        <v>6.6438241684773498</v>
      </c>
      <c r="C71">
        <v>6.7399991760392197</v>
      </c>
      <c r="D71">
        <v>-9.6175007561867296E-2</v>
      </c>
      <c r="E71">
        <v>8.7444355843239894</v>
      </c>
      <c r="F71">
        <v>9.5400520598160394</v>
      </c>
      <c r="G71">
        <v>0.77366582392804795</v>
      </c>
      <c r="H71">
        <v>9.64075850960878</v>
      </c>
      <c r="I71">
        <v>10.6864828683951</v>
      </c>
      <c r="J71">
        <v>1.0457243587863401</v>
      </c>
      <c r="K71">
        <v>33</v>
      </c>
      <c r="L71">
        <v>24</v>
      </c>
      <c r="M71">
        <v>33</v>
      </c>
    </row>
    <row r="72" spans="1:13" x14ac:dyDescent="0.35">
      <c r="A72" t="s">
        <v>103</v>
      </c>
      <c r="B72">
        <v>17.435158501440899</v>
      </c>
      <c r="C72">
        <v>16.246419683523499</v>
      </c>
      <c r="D72">
        <v>1.1887388179174301</v>
      </c>
      <c r="E72">
        <v>8.7444355843239894</v>
      </c>
      <c r="F72">
        <v>9.5400520598160394</v>
      </c>
      <c r="G72">
        <v>0.77366582392804795</v>
      </c>
      <c r="H72">
        <v>9.64075850960878</v>
      </c>
      <c r="I72">
        <v>10.6864828683951</v>
      </c>
      <c r="J72">
        <v>1.0457243587863401</v>
      </c>
      <c r="K72">
        <v>98</v>
      </c>
      <c r="L72">
        <v>97</v>
      </c>
      <c r="M72">
        <v>64</v>
      </c>
    </row>
    <row r="73" spans="1:13" x14ac:dyDescent="0.35">
      <c r="A73" t="s">
        <v>104</v>
      </c>
      <c r="B73">
        <v>11.4802725554198</v>
      </c>
      <c r="C73">
        <v>10.7688261698554</v>
      </c>
      <c r="D73">
        <v>0.711446385564388</v>
      </c>
      <c r="E73">
        <v>8.7444355843239894</v>
      </c>
      <c r="F73">
        <v>9.5400520598160394</v>
      </c>
      <c r="G73">
        <v>0.77366582392804795</v>
      </c>
      <c r="H73">
        <v>9.64075850960878</v>
      </c>
      <c r="I73">
        <v>10.6864828683951</v>
      </c>
      <c r="J73">
        <v>1.0457243587863401</v>
      </c>
      <c r="K73">
        <v>73</v>
      </c>
      <c r="L73">
        <v>70</v>
      </c>
      <c r="M73">
        <v>52</v>
      </c>
    </row>
    <row r="74" spans="1:13" x14ac:dyDescent="0.35">
      <c r="A74" t="s">
        <v>105</v>
      </c>
      <c r="B74">
        <v>8.4820807842046708</v>
      </c>
      <c r="C74">
        <v>3.8985379938945401</v>
      </c>
      <c r="D74">
        <v>4.5835427903101396</v>
      </c>
      <c r="E74">
        <v>8.7444355843239894</v>
      </c>
      <c r="F74">
        <v>9.5400520598160394</v>
      </c>
      <c r="G74">
        <v>0.77366582392804795</v>
      </c>
      <c r="H74">
        <v>9.64075850960878</v>
      </c>
      <c r="I74">
        <v>10.6864828683951</v>
      </c>
      <c r="J74">
        <v>1.0457243587863401</v>
      </c>
      <c r="K74">
        <v>12</v>
      </c>
      <c r="L74">
        <v>42</v>
      </c>
      <c r="M74">
        <v>98</v>
      </c>
    </row>
    <row r="75" spans="1:13" x14ac:dyDescent="0.35">
      <c r="A75" t="s">
        <v>106</v>
      </c>
      <c r="B75">
        <v>4.5906822928753801</v>
      </c>
      <c r="C75">
        <v>3.5860986107022201</v>
      </c>
      <c r="D75">
        <v>1.00458368217316</v>
      </c>
      <c r="E75">
        <v>8.7444355843239894</v>
      </c>
      <c r="F75">
        <v>9.5400520598160394</v>
      </c>
      <c r="G75">
        <v>0.77366582392804795</v>
      </c>
      <c r="H75">
        <v>9.64075850960878</v>
      </c>
      <c r="I75">
        <v>10.6864828683951</v>
      </c>
      <c r="J75">
        <v>1.0457243587863401</v>
      </c>
      <c r="K75">
        <v>9</v>
      </c>
      <c r="L75">
        <v>11</v>
      </c>
      <c r="M75">
        <v>59</v>
      </c>
    </row>
    <row r="76" spans="1:13" x14ac:dyDescent="0.35">
      <c r="A76" t="s">
        <v>107</v>
      </c>
      <c r="B76">
        <v>6.4252705733596196</v>
      </c>
      <c r="C76">
        <v>2.3280423280423301</v>
      </c>
      <c r="D76">
        <v>4.0972282453173001</v>
      </c>
      <c r="E76">
        <v>8.7444355843239894</v>
      </c>
      <c r="F76">
        <v>9.5400520598160394</v>
      </c>
      <c r="G76">
        <v>0.77366582392804795</v>
      </c>
      <c r="H76">
        <v>9.64075850960878</v>
      </c>
      <c r="I76">
        <v>10.6864828683951</v>
      </c>
      <c r="J76">
        <v>1.0457243587863401</v>
      </c>
      <c r="K76">
        <v>1</v>
      </c>
      <c r="L76">
        <v>18</v>
      </c>
      <c r="M76">
        <v>97</v>
      </c>
    </row>
    <row r="77" spans="1:13" x14ac:dyDescent="0.35">
      <c r="A77" t="s">
        <v>108</v>
      </c>
      <c r="B77">
        <v>13.4956696372537</v>
      </c>
      <c r="C77">
        <v>15.565287115277901</v>
      </c>
      <c r="D77">
        <v>-2.06961747802419</v>
      </c>
      <c r="E77">
        <v>8.7444355843239894</v>
      </c>
      <c r="F77">
        <v>9.5400520598160394</v>
      </c>
      <c r="G77">
        <v>0.77366582392804795</v>
      </c>
      <c r="H77">
        <v>9.64075850960878</v>
      </c>
      <c r="I77">
        <v>10.6864828683951</v>
      </c>
      <c r="J77">
        <v>1.0457243587863401</v>
      </c>
      <c r="K77">
        <v>97</v>
      </c>
      <c r="L77">
        <v>84</v>
      </c>
      <c r="M77">
        <v>14</v>
      </c>
    </row>
    <row r="78" spans="1:13" x14ac:dyDescent="0.35">
      <c r="A78" t="s">
        <v>109</v>
      </c>
      <c r="B78">
        <v>6.5408292017690304</v>
      </c>
      <c r="C78">
        <v>4.0329006554427496</v>
      </c>
      <c r="D78">
        <v>2.5079285463262901</v>
      </c>
      <c r="E78">
        <v>8.7444355843239894</v>
      </c>
      <c r="F78">
        <v>9.5400520598160394</v>
      </c>
      <c r="G78">
        <v>0.77366582392804795</v>
      </c>
      <c r="H78">
        <v>9.64075850960878</v>
      </c>
      <c r="I78">
        <v>10.6864828683951</v>
      </c>
      <c r="J78">
        <v>1.0457243587863401</v>
      </c>
      <c r="K78">
        <v>13</v>
      </c>
      <c r="L78">
        <v>20</v>
      </c>
      <c r="M78">
        <v>84</v>
      </c>
    </row>
    <row r="79" spans="1:13" x14ac:dyDescent="0.35">
      <c r="A79" t="s">
        <v>110</v>
      </c>
      <c r="B79">
        <v>10.895715061098199</v>
      </c>
      <c r="C79">
        <v>10.31950216593</v>
      </c>
      <c r="D79">
        <v>0.57621289516812302</v>
      </c>
      <c r="E79">
        <v>8.7444355843239894</v>
      </c>
      <c r="F79">
        <v>9.5400520598160394</v>
      </c>
      <c r="G79">
        <v>0.77366582392804795</v>
      </c>
      <c r="H79">
        <v>9.64075850960878</v>
      </c>
      <c r="I79">
        <v>10.6864828683951</v>
      </c>
      <c r="J79">
        <v>1.0457243587863401</v>
      </c>
      <c r="K79">
        <v>68</v>
      </c>
      <c r="L79">
        <v>67</v>
      </c>
      <c r="M79">
        <v>49</v>
      </c>
    </row>
    <row r="80" spans="1:13" x14ac:dyDescent="0.35">
      <c r="A80" t="s">
        <v>111</v>
      </c>
      <c r="B80">
        <v>9.9613232389730104</v>
      </c>
      <c r="C80">
        <v>8.9333304905869593</v>
      </c>
      <c r="D80">
        <v>1.02799274838605</v>
      </c>
      <c r="E80">
        <v>8.7444355843239894</v>
      </c>
      <c r="F80">
        <v>9.5400520598160394</v>
      </c>
      <c r="G80">
        <v>0.77366582392804795</v>
      </c>
      <c r="H80">
        <v>9.64075850960878</v>
      </c>
      <c r="I80">
        <v>10.6864828683951</v>
      </c>
      <c r="J80">
        <v>1.0457243587863401</v>
      </c>
      <c r="K80">
        <v>56</v>
      </c>
      <c r="L80">
        <v>59</v>
      </c>
      <c r="M80">
        <v>60</v>
      </c>
    </row>
    <row r="81" spans="1:13" x14ac:dyDescent="0.35">
      <c r="A81" t="s">
        <v>112</v>
      </c>
      <c r="B81">
        <v>9.9777196551390102</v>
      </c>
      <c r="C81">
        <v>7.5375505818339796</v>
      </c>
      <c r="D81">
        <v>2.4401690733050301</v>
      </c>
      <c r="E81">
        <v>8.7444355843239894</v>
      </c>
      <c r="F81">
        <v>9.5400520598160394</v>
      </c>
      <c r="G81">
        <v>0.77366582392804795</v>
      </c>
      <c r="H81">
        <v>9.64075850960878</v>
      </c>
      <c r="I81">
        <v>10.6864828683951</v>
      </c>
      <c r="J81">
        <v>1.0457243587863401</v>
      </c>
      <c r="K81">
        <v>41</v>
      </c>
      <c r="L81">
        <v>60</v>
      </c>
      <c r="M81">
        <v>83</v>
      </c>
    </row>
    <row r="82" spans="1:13" x14ac:dyDescent="0.35">
      <c r="A82" t="s">
        <v>113</v>
      </c>
      <c r="B82">
        <v>18.906087408948999</v>
      </c>
      <c r="C82">
        <v>19.386248704337699</v>
      </c>
      <c r="D82">
        <v>-0.480161295388708</v>
      </c>
      <c r="E82">
        <v>8.7444355843239894</v>
      </c>
      <c r="F82">
        <v>9.5400520598160394</v>
      </c>
      <c r="G82">
        <v>0.77366582392804795</v>
      </c>
      <c r="H82">
        <v>9.64075850960878</v>
      </c>
      <c r="I82">
        <v>10.6864828683951</v>
      </c>
      <c r="J82">
        <v>1.0457243587863401</v>
      </c>
      <c r="K82">
        <v>105</v>
      </c>
      <c r="L82">
        <v>102</v>
      </c>
      <c r="M82">
        <v>29</v>
      </c>
    </row>
    <row r="83" spans="1:13" x14ac:dyDescent="0.35">
      <c r="A83" t="s">
        <v>114</v>
      </c>
      <c r="B83">
        <v>7.2377052888748103</v>
      </c>
      <c r="C83">
        <v>6.7401650840365104</v>
      </c>
      <c r="D83">
        <v>0.49754020483830103</v>
      </c>
      <c r="E83">
        <v>8.7444355843239894</v>
      </c>
      <c r="F83">
        <v>9.5400520598160394</v>
      </c>
      <c r="G83">
        <v>0.77366582392804795</v>
      </c>
      <c r="H83">
        <v>9.64075850960878</v>
      </c>
      <c r="I83">
        <v>10.6864828683951</v>
      </c>
      <c r="J83">
        <v>1.0457243587863401</v>
      </c>
      <c r="K83">
        <v>34</v>
      </c>
      <c r="L83">
        <v>31</v>
      </c>
      <c r="M83">
        <v>47</v>
      </c>
    </row>
    <row r="84" spans="1:13" x14ac:dyDescent="0.35">
      <c r="A84" t="s">
        <v>115</v>
      </c>
      <c r="B84">
        <v>17.918916946431199</v>
      </c>
      <c r="C84">
        <v>16.950238605129599</v>
      </c>
      <c r="D84">
        <v>0.96867834130159003</v>
      </c>
      <c r="E84">
        <v>8.7444355843239894</v>
      </c>
      <c r="F84">
        <v>9.5400520598160394</v>
      </c>
      <c r="G84">
        <v>0.77366582392804795</v>
      </c>
      <c r="H84">
        <v>9.64075850960878</v>
      </c>
      <c r="I84">
        <v>10.6864828683951</v>
      </c>
      <c r="J84">
        <v>1.0457243587863401</v>
      </c>
      <c r="K84">
        <v>100</v>
      </c>
      <c r="L84">
        <v>99</v>
      </c>
      <c r="M84">
        <v>58</v>
      </c>
    </row>
    <row r="85" spans="1:13" x14ac:dyDescent="0.35">
      <c r="A85" t="s">
        <v>116</v>
      </c>
      <c r="B85">
        <v>16.124482460530501</v>
      </c>
      <c r="C85">
        <v>14.629455802559599</v>
      </c>
      <c r="D85">
        <v>1.4950266579709199</v>
      </c>
      <c r="E85">
        <v>8.7444355843239894</v>
      </c>
      <c r="F85">
        <v>9.5400520598160394</v>
      </c>
      <c r="G85">
        <v>0.77366582392804795</v>
      </c>
      <c r="H85">
        <v>9.64075850960878</v>
      </c>
      <c r="I85">
        <v>10.6864828683951</v>
      </c>
      <c r="J85">
        <v>1.0457243587863401</v>
      </c>
      <c r="K85">
        <v>93</v>
      </c>
      <c r="L85">
        <v>94</v>
      </c>
      <c r="M85">
        <v>67</v>
      </c>
    </row>
    <row r="86" spans="1:13" x14ac:dyDescent="0.35">
      <c r="A86" t="s">
        <v>7</v>
      </c>
      <c r="B86">
        <v>11.5496521189121</v>
      </c>
      <c r="C86">
        <v>17.184449958643501</v>
      </c>
      <c r="D86">
        <v>-5.63479783973143</v>
      </c>
      <c r="E86">
        <v>8.7444355843239894</v>
      </c>
      <c r="F86">
        <v>9.5400520598160394</v>
      </c>
      <c r="G86">
        <v>0.77366582392804795</v>
      </c>
      <c r="H86">
        <v>9.64075850960878</v>
      </c>
      <c r="I86">
        <v>10.6864828683951</v>
      </c>
      <c r="J86">
        <v>1.0457243587863401</v>
      </c>
      <c r="K86">
        <v>101</v>
      </c>
      <c r="L86">
        <v>74</v>
      </c>
      <c r="M86">
        <v>2</v>
      </c>
    </row>
    <row r="87" spans="1:13" x14ac:dyDescent="0.35">
      <c r="A87" t="s">
        <v>117</v>
      </c>
      <c r="B87">
        <v>14.8506304658356</v>
      </c>
      <c r="C87">
        <v>16.668454987953201</v>
      </c>
      <c r="D87">
        <v>-1.8178245221175799</v>
      </c>
      <c r="E87">
        <v>8.7444355843239894</v>
      </c>
      <c r="F87">
        <v>9.5400520598160394</v>
      </c>
      <c r="G87">
        <v>0.77366582392804795</v>
      </c>
      <c r="H87">
        <v>9.64075850960878</v>
      </c>
      <c r="I87">
        <v>10.6864828683951</v>
      </c>
      <c r="J87">
        <v>1.0457243587863401</v>
      </c>
      <c r="K87">
        <v>99</v>
      </c>
      <c r="L87">
        <v>91</v>
      </c>
      <c r="M87">
        <v>15</v>
      </c>
    </row>
    <row r="88" spans="1:13" x14ac:dyDescent="0.35">
      <c r="A88" t="s">
        <v>118</v>
      </c>
      <c r="B88">
        <v>8.8850065514444392</v>
      </c>
      <c r="C88">
        <v>7.3655913978494603</v>
      </c>
      <c r="D88">
        <v>1.51941515359498</v>
      </c>
      <c r="E88">
        <v>8.7444355843239894</v>
      </c>
      <c r="F88">
        <v>9.5400520598160394</v>
      </c>
      <c r="G88">
        <v>0.77366582392804795</v>
      </c>
      <c r="H88">
        <v>9.64075850960878</v>
      </c>
      <c r="I88">
        <v>10.6864828683951</v>
      </c>
      <c r="J88">
        <v>1.0457243587863401</v>
      </c>
      <c r="K88">
        <v>38</v>
      </c>
      <c r="L88">
        <v>47</v>
      </c>
      <c r="M88">
        <v>70</v>
      </c>
    </row>
    <row r="89" spans="1:13" x14ac:dyDescent="0.35">
      <c r="A89" t="s">
        <v>119</v>
      </c>
      <c r="B89">
        <v>7.0189796593960398</v>
      </c>
      <c r="C89">
        <v>9.3240689170311306</v>
      </c>
      <c r="D89">
        <v>-2.3050892576350899</v>
      </c>
      <c r="E89">
        <v>8.7444355843239894</v>
      </c>
      <c r="F89">
        <v>9.5400520598160394</v>
      </c>
      <c r="G89">
        <v>0.77366582392804795</v>
      </c>
      <c r="H89">
        <v>9.64075850960878</v>
      </c>
      <c r="I89">
        <v>10.6864828683951</v>
      </c>
      <c r="J89">
        <v>1.0457243587863401</v>
      </c>
      <c r="K89">
        <v>58</v>
      </c>
      <c r="L89">
        <v>29</v>
      </c>
      <c r="M89">
        <v>12</v>
      </c>
    </row>
    <row r="90" spans="1:13" x14ac:dyDescent="0.35">
      <c r="A90" t="s">
        <v>120</v>
      </c>
      <c r="B90">
        <v>11.7435660877308</v>
      </c>
      <c r="C90">
        <v>9.9582915368776703</v>
      </c>
      <c r="D90">
        <v>1.7852745508531001</v>
      </c>
      <c r="E90">
        <v>8.7444355843239894</v>
      </c>
      <c r="F90">
        <v>9.5400520598160394</v>
      </c>
      <c r="G90">
        <v>0.77366582392804795</v>
      </c>
      <c r="H90">
        <v>9.64075850960878</v>
      </c>
      <c r="I90">
        <v>10.6864828683951</v>
      </c>
      <c r="J90">
        <v>1.0457243587863401</v>
      </c>
      <c r="K90">
        <v>66</v>
      </c>
      <c r="L90">
        <v>75</v>
      </c>
      <c r="M90">
        <v>74</v>
      </c>
    </row>
    <row r="91" spans="1:13" x14ac:dyDescent="0.35">
      <c r="A91" t="s">
        <v>121</v>
      </c>
      <c r="B91">
        <v>5.6533011757612304</v>
      </c>
      <c r="C91">
        <v>4.8600746846339096</v>
      </c>
      <c r="D91">
        <v>0.79322649112731503</v>
      </c>
      <c r="E91">
        <v>8.7444355843239894</v>
      </c>
      <c r="F91">
        <v>9.5400520598160394</v>
      </c>
      <c r="G91">
        <v>0.77366582392804795</v>
      </c>
      <c r="H91">
        <v>9.64075850960878</v>
      </c>
      <c r="I91">
        <v>10.6864828683951</v>
      </c>
      <c r="J91">
        <v>1.0457243587863401</v>
      </c>
      <c r="K91">
        <v>17</v>
      </c>
      <c r="L91">
        <v>15</v>
      </c>
      <c r="M91">
        <v>56</v>
      </c>
    </row>
    <row r="92" spans="1:13" x14ac:dyDescent="0.35">
      <c r="A92" t="s">
        <v>122</v>
      </c>
      <c r="B92">
        <v>4.0429806541908402</v>
      </c>
      <c r="C92">
        <v>4.4015124660285903</v>
      </c>
      <c r="D92">
        <v>-0.35853181183775501</v>
      </c>
      <c r="E92">
        <v>8.7444355843239894</v>
      </c>
      <c r="F92">
        <v>9.5400520598160394</v>
      </c>
      <c r="G92">
        <v>0.77366582392804795</v>
      </c>
      <c r="H92">
        <v>9.64075850960878</v>
      </c>
      <c r="I92">
        <v>10.6864828683951</v>
      </c>
      <c r="J92">
        <v>1.0457243587863401</v>
      </c>
      <c r="K92">
        <v>14</v>
      </c>
      <c r="L92">
        <v>4</v>
      </c>
      <c r="M92">
        <v>30</v>
      </c>
    </row>
    <row r="93" spans="1:13" x14ac:dyDescent="0.35">
      <c r="A93" t="s">
        <v>123</v>
      </c>
      <c r="B93">
        <v>4.3875779813360403</v>
      </c>
      <c r="C93">
        <v>5.8265716735932402</v>
      </c>
      <c r="D93">
        <v>-1.43899369225721</v>
      </c>
      <c r="E93">
        <v>8.7444355843239894</v>
      </c>
      <c r="F93">
        <v>9.5400520598160394</v>
      </c>
      <c r="G93">
        <v>0.77366582392804795</v>
      </c>
      <c r="H93">
        <v>9.64075850960878</v>
      </c>
      <c r="I93">
        <v>10.6864828683951</v>
      </c>
      <c r="J93">
        <v>1.0457243587863401</v>
      </c>
      <c r="K93">
        <v>27</v>
      </c>
      <c r="L93">
        <v>8</v>
      </c>
      <c r="M93">
        <v>20</v>
      </c>
    </row>
    <row r="94" spans="1:13" x14ac:dyDescent="0.35">
      <c r="A94" t="s">
        <v>124</v>
      </c>
      <c r="B94">
        <v>7.52505303196547</v>
      </c>
      <c r="C94">
        <v>7.7444812161326704</v>
      </c>
      <c r="D94">
        <v>-0.21942818416719401</v>
      </c>
      <c r="E94">
        <v>8.7444355843239894</v>
      </c>
      <c r="F94">
        <v>9.5400520598160394</v>
      </c>
      <c r="G94">
        <v>0.77366582392804795</v>
      </c>
      <c r="H94">
        <v>9.64075850960878</v>
      </c>
      <c r="I94">
        <v>10.6864828683951</v>
      </c>
      <c r="J94">
        <v>1.0457243587863401</v>
      </c>
      <c r="K94">
        <v>46</v>
      </c>
      <c r="L94">
        <v>36</v>
      </c>
      <c r="M94">
        <v>32</v>
      </c>
    </row>
    <row r="95" spans="1:13" x14ac:dyDescent="0.35">
      <c r="A95" t="s">
        <v>125</v>
      </c>
      <c r="B95">
        <v>9.58955034725156</v>
      </c>
      <c r="C95">
        <v>9.5488607337990796</v>
      </c>
      <c r="D95">
        <v>4.06896134524821E-2</v>
      </c>
      <c r="E95">
        <v>8.7444355843239894</v>
      </c>
      <c r="F95">
        <v>9.5400520598160394</v>
      </c>
      <c r="G95">
        <v>0.77366582392804795</v>
      </c>
      <c r="H95">
        <v>9.64075850960878</v>
      </c>
      <c r="I95">
        <v>10.6864828683951</v>
      </c>
      <c r="J95">
        <v>1.0457243587863401</v>
      </c>
      <c r="K95">
        <v>61</v>
      </c>
      <c r="L95">
        <v>56</v>
      </c>
      <c r="M95">
        <v>35</v>
      </c>
    </row>
    <row r="96" spans="1:13" x14ac:dyDescent="0.35">
      <c r="A96" t="s">
        <v>8</v>
      </c>
      <c r="B96">
        <v>8.7309694649911993</v>
      </c>
      <c r="C96">
        <v>11.407579273008499</v>
      </c>
      <c r="D96">
        <v>-2.67660980801731</v>
      </c>
      <c r="E96">
        <v>8.7444355843239894</v>
      </c>
      <c r="F96">
        <v>9.5400520598160394</v>
      </c>
      <c r="G96">
        <v>0.77366582392804795</v>
      </c>
      <c r="H96">
        <v>9.64075850960878</v>
      </c>
      <c r="I96">
        <v>10.6864828683951</v>
      </c>
      <c r="J96">
        <v>1.0457243587863401</v>
      </c>
      <c r="K96">
        <v>80</v>
      </c>
      <c r="L96">
        <v>45</v>
      </c>
      <c r="M96">
        <v>9</v>
      </c>
    </row>
    <row r="97" spans="1:13" x14ac:dyDescent="0.35">
      <c r="A97" t="s">
        <v>126</v>
      </c>
      <c r="B97">
        <v>15.233605936695399</v>
      </c>
      <c r="C97">
        <v>13.984183876656999</v>
      </c>
      <c r="D97">
        <v>1.24942206003845</v>
      </c>
      <c r="E97">
        <v>8.7444355843239894</v>
      </c>
      <c r="F97">
        <v>9.5400520598160394</v>
      </c>
      <c r="G97">
        <v>0.77366582392804795</v>
      </c>
      <c r="H97">
        <v>9.64075850960878</v>
      </c>
      <c r="I97">
        <v>10.6864828683951</v>
      </c>
      <c r="J97">
        <v>1.0457243587863401</v>
      </c>
      <c r="K97">
        <v>89</v>
      </c>
      <c r="L97">
        <v>93</v>
      </c>
      <c r="M97">
        <v>65</v>
      </c>
    </row>
    <row r="98" spans="1:13" x14ac:dyDescent="0.35">
      <c r="A98" t="s">
        <v>127</v>
      </c>
      <c r="B98">
        <v>13.9641114153077</v>
      </c>
      <c r="C98">
        <v>13.529700088839901</v>
      </c>
      <c r="D98">
        <v>0.43441132646782599</v>
      </c>
      <c r="E98">
        <v>8.7444355843239894</v>
      </c>
      <c r="F98">
        <v>9.5400520598160394</v>
      </c>
      <c r="G98">
        <v>0.77366582392804795</v>
      </c>
      <c r="H98">
        <v>9.64075850960878</v>
      </c>
      <c r="I98">
        <v>10.6864828683951</v>
      </c>
      <c r="J98">
        <v>1.0457243587863401</v>
      </c>
      <c r="K98">
        <v>86</v>
      </c>
      <c r="L98">
        <v>88</v>
      </c>
      <c r="M98">
        <v>43</v>
      </c>
    </row>
    <row r="99" spans="1:13" x14ac:dyDescent="0.35">
      <c r="A99" t="s">
        <v>128</v>
      </c>
      <c r="B99">
        <v>7.4868305392364602</v>
      </c>
      <c r="C99">
        <v>2.4834606902918099</v>
      </c>
      <c r="D99">
        <v>5.0033698489446499</v>
      </c>
      <c r="E99">
        <v>8.7444355843239894</v>
      </c>
      <c r="F99">
        <v>9.5400520598160394</v>
      </c>
      <c r="G99">
        <v>0.77366582392804795</v>
      </c>
      <c r="H99">
        <v>9.64075850960878</v>
      </c>
      <c r="I99">
        <v>10.6864828683951</v>
      </c>
      <c r="J99">
        <v>1.0457243587863401</v>
      </c>
      <c r="K99">
        <v>3</v>
      </c>
      <c r="L99">
        <v>35</v>
      </c>
      <c r="M99">
        <v>99</v>
      </c>
    </row>
    <row r="100" spans="1:13" x14ac:dyDescent="0.35">
      <c r="A100" t="s">
        <v>129</v>
      </c>
      <c r="B100">
        <v>20.537967014953001</v>
      </c>
      <c r="C100">
        <v>17.609044670201399</v>
      </c>
      <c r="D100">
        <v>2.9289223447516002</v>
      </c>
      <c r="E100">
        <v>8.7444355843239894</v>
      </c>
      <c r="F100">
        <v>9.5400520598160394</v>
      </c>
      <c r="G100">
        <v>0.77366582392804795</v>
      </c>
      <c r="H100">
        <v>9.64075850960878</v>
      </c>
      <c r="I100">
        <v>10.6864828683951</v>
      </c>
      <c r="J100">
        <v>1.0457243587863401</v>
      </c>
      <c r="K100">
        <v>102</v>
      </c>
      <c r="L100">
        <v>105</v>
      </c>
      <c r="M100">
        <v>87</v>
      </c>
    </row>
    <row r="101" spans="1:13" x14ac:dyDescent="0.35">
      <c r="A101" t="s">
        <v>130</v>
      </c>
      <c r="B101">
        <v>10.397202200014201</v>
      </c>
      <c r="C101">
        <v>9.9294354838709697</v>
      </c>
      <c r="D101">
        <v>0.46776671614326498</v>
      </c>
      <c r="E101">
        <v>8.7444355843239894</v>
      </c>
      <c r="F101">
        <v>9.5400520598160394</v>
      </c>
      <c r="G101">
        <v>0.77366582392804795</v>
      </c>
      <c r="H101">
        <v>9.64075850960878</v>
      </c>
      <c r="I101">
        <v>10.6864828683951</v>
      </c>
      <c r="J101">
        <v>1.0457243587863401</v>
      </c>
      <c r="K101">
        <v>65</v>
      </c>
      <c r="L101">
        <v>63</v>
      </c>
      <c r="M101">
        <v>45</v>
      </c>
    </row>
    <row r="102" spans="1:13" x14ac:dyDescent="0.35">
      <c r="A102" t="s">
        <v>131</v>
      </c>
      <c r="B102">
        <v>12.923537123548201</v>
      </c>
      <c r="C102">
        <v>9.8102369133199403</v>
      </c>
      <c r="D102">
        <v>3.1133002102282599</v>
      </c>
      <c r="E102">
        <v>8.7444355843239894</v>
      </c>
      <c r="F102">
        <v>9.5400520598160394</v>
      </c>
      <c r="G102">
        <v>0.77366582392804795</v>
      </c>
      <c r="H102">
        <v>9.64075850960878</v>
      </c>
      <c r="I102">
        <v>10.6864828683951</v>
      </c>
      <c r="J102">
        <v>1.0457243587863401</v>
      </c>
      <c r="K102">
        <v>63</v>
      </c>
      <c r="L102">
        <v>81</v>
      </c>
      <c r="M102">
        <v>89</v>
      </c>
    </row>
    <row r="103" spans="1:13" x14ac:dyDescent="0.35">
      <c r="A103" t="s">
        <v>132</v>
      </c>
      <c r="B103">
        <v>7.94818587687858</v>
      </c>
      <c r="C103">
        <v>6.5954386685843396</v>
      </c>
      <c r="D103">
        <v>1.35274720829423</v>
      </c>
      <c r="E103">
        <v>8.7444355843239894</v>
      </c>
      <c r="F103">
        <v>9.5400520598160394</v>
      </c>
      <c r="G103">
        <v>0.77366582392804795</v>
      </c>
      <c r="H103">
        <v>9.64075850960878</v>
      </c>
      <c r="I103">
        <v>10.6864828683951</v>
      </c>
      <c r="J103">
        <v>1.0457243587863401</v>
      </c>
      <c r="K103">
        <v>31</v>
      </c>
      <c r="L103">
        <v>39</v>
      </c>
      <c r="M103">
        <v>66</v>
      </c>
    </row>
    <row r="104" spans="1:13" x14ac:dyDescent="0.35">
      <c r="A104" t="s">
        <v>133</v>
      </c>
      <c r="B104">
        <v>9.0013364429653304</v>
      </c>
      <c r="C104">
        <v>6.8114096366176602</v>
      </c>
      <c r="D104">
        <v>2.1899268063476698</v>
      </c>
      <c r="E104">
        <v>8.7444355843239894</v>
      </c>
      <c r="F104">
        <v>9.5400520598160394</v>
      </c>
      <c r="G104">
        <v>0.77366582392804795</v>
      </c>
      <c r="H104">
        <v>9.64075850960878</v>
      </c>
      <c r="I104">
        <v>10.6864828683951</v>
      </c>
      <c r="J104">
        <v>1.0457243587863401</v>
      </c>
      <c r="K104">
        <v>35</v>
      </c>
      <c r="L104">
        <v>48</v>
      </c>
      <c r="M104">
        <v>82</v>
      </c>
    </row>
    <row r="105" spans="1:13" x14ac:dyDescent="0.35">
      <c r="A105" t="s">
        <v>134</v>
      </c>
      <c r="B105">
        <v>5.5379885265775997</v>
      </c>
      <c r="C105">
        <v>6.1639058413252004</v>
      </c>
      <c r="D105">
        <v>-0.62591731474760204</v>
      </c>
      <c r="E105">
        <v>8.7444355843239894</v>
      </c>
      <c r="F105">
        <v>9.5400520598160394</v>
      </c>
      <c r="G105">
        <v>0.77366582392804795</v>
      </c>
      <c r="H105">
        <v>9.64075850960878</v>
      </c>
      <c r="I105">
        <v>10.6864828683951</v>
      </c>
      <c r="J105">
        <v>1.0457243587863401</v>
      </c>
      <c r="K105">
        <v>28</v>
      </c>
      <c r="L105">
        <v>13</v>
      </c>
      <c r="M105">
        <v>27</v>
      </c>
    </row>
    <row r="106" spans="1:13" x14ac:dyDescent="0.35">
      <c r="A106" t="s">
        <v>9</v>
      </c>
      <c r="B106">
        <v>14.0056853293783</v>
      </c>
      <c r="C106">
        <v>18.1104974994667</v>
      </c>
      <c r="D106">
        <v>-4.1048121700883904</v>
      </c>
      <c r="E106">
        <v>8.7444355843239894</v>
      </c>
      <c r="F106">
        <v>9.5400520598160394</v>
      </c>
      <c r="G106">
        <v>0.77366582392804795</v>
      </c>
      <c r="H106">
        <v>9.64075850960878</v>
      </c>
      <c r="I106">
        <v>10.6864828683951</v>
      </c>
      <c r="J106">
        <v>1.0457243587863401</v>
      </c>
      <c r="K106">
        <v>104</v>
      </c>
      <c r="L106">
        <v>89</v>
      </c>
      <c r="M106">
        <v>3</v>
      </c>
    </row>
    <row r="107" spans="1:13" x14ac:dyDescent="0.35">
      <c r="A107" t="s">
        <v>135</v>
      </c>
      <c r="B107">
        <v>4.30325988648727</v>
      </c>
      <c r="C107">
        <v>4.6062656576874401</v>
      </c>
      <c r="D107">
        <v>-0.30300577120017502</v>
      </c>
      <c r="E107">
        <v>8.7444355843239894</v>
      </c>
      <c r="F107">
        <v>9.5400520598160394</v>
      </c>
      <c r="G107">
        <v>0.77366582392804795</v>
      </c>
      <c r="H107">
        <v>9.64075850960878</v>
      </c>
      <c r="I107">
        <v>10.6864828683951</v>
      </c>
      <c r="J107">
        <v>1.0457243587863401</v>
      </c>
      <c r="K107">
        <v>16</v>
      </c>
      <c r="L107">
        <v>7</v>
      </c>
      <c r="M107">
        <v>31</v>
      </c>
    </row>
    <row r="108" spans="1:13" x14ac:dyDescent="0.35">
      <c r="A108" t="s">
        <v>136</v>
      </c>
      <c r="B108">
        <v>11.266917019483801</v>
      </c>
      <c r="C108">
        <v>10.3547567323851</v>
      </c>
      <c r="D108">
        <v>0.91216028709870001</v>
      </c>
      <c r="E108">
        <v>8.7444355843239894</v>
      </c>
      <c r="F108">
        <v>9.5400520598160394</v>
      </c>
      <c r="G108">
        <v>0.77366582392804795</v>
      </c>
      <c r="H108">
        <v>9.64075850960878</v>
      </c>
      <c r="I108">
        <v>10.6864828683951</v>
      </c>
      <c r="J108">
        <v>1.0457243587863401</v>
      </c>
      <c r="K108">
        <v>69</v>
      </c>
      <c r="L108">
        <v>69</v>
      </c>
      <c r="M108">
        <v>57</v>
      </c>
    </row>
    <row r="109" spans="1:13" x14ac:dyDescent="0.35">
      <c r="A109" t="s">
        <v>137</v>
      </c>
      <c r="B109">
        <v>18.1224075676643</v>
      </c>
      <c r="C109">
        <v>11.0839435937784</v>
      </c>
      <c r="D109">
        <v>7.03846397388598</v>
      </c>
      <c r="E109">
        <v>8.7444355843239894</v>
      </c>
      <c r="F109">
        <v>9.5400520598160394</v>
      </c>
      <c r="G109">
        <v>0.77366582392804795</v>
      </c>
      <c r="H109">
        <v>9.64075850960878</v>
      </c>
      <c r="I109">
        <v>10.6864828683951</v>
      </c>
      <c r="J109">
        <v>1.0457243587863401</v>
      </c>
      <c r="K109">
        <v>78</v>
      </c>
      <c r="L109">
        <v>101</v>
      </c>
      <c r="M109">
        <v>103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K26" sqref="K26"/>
    </sheetView>
  </sheetViews>
  <sheetFormatPr defaultColWidth="11.453125" defaultRowHeight="14.5" x14ac:dyDescent="0.35"/>
  <sheetData>
    <row r="1" spans="1:9" x14ac:dyDescent="0.35">
      <c r="A1" t="s">
        <v>11</v>
      </c>
      <c r="B1" t="s">
        <v>141</v>
      </c>
      <c r="C1" t="s">
        <v>142</v>
      </c>
      <c r="E1" t="s">
        <v>143</v>
      </c>
      <c r="F1" t="s">
        <v>144</v>
      </c>
      <c r="H1" t="s">
        <v>145</v>
      </c>
      <c r="I1" t="s">
        <v>146</v>
      </c>
    </row>
    <row r="2" spans="1:9" x14ac:dyDescent="0.35">
      <c r="A2" t="s">
        <v>0</v>
      </c>
      <c r="B2">
        <v>0.92266666666666697</v>
      </c>
      <c r="C2">
        <v>0.89233333333333298</v>
      </c>
      <c r="E2">
        <v>0.9425</v>
      </c>
      <c r="F2">
        <v>0.93400000000000005</v>
      </c>
      <c r="H2">
        <v>0.93513333333333304</v>
      </c>
      <c r="I2">
        <v>0.92663333333333298</v>
      </c>
    </row>
    <row r="3" spans="1:9" x14ac:dyDescent="0.35">
      <c r="A3" t="s">
        <v>1</v>
      </c>
      <c r="B3">
        <v>0.85199999999999998</v>
      </c>
      <c r="C3">
        <v>0.86466666666666703</v>
      </c>
      <c r="E3">
        <v>0.9425</v>
      </c>
      <c r="F3">
        <v>0.93400000000000005</v>
      </c>
      <c r="H3">
        <v>0.93513333333333304</v>
      </c>
      <c r="I3">
        <v>0.92663333333333298</v>
      </c>
    </row>
    <row r="4" spans="1:9" x14ac:dyDescent="0.35">
      <c r="A4" t="s">
        <v>2</v>
      </c>
      <c r="B4">
        <v>0.96</v>
      </c>
      <c r="C4">
        <v>0.93233333333333301</v>
      </c>
      <c r="E4">
        <v>0.9425</v>
      </c>
      <c r="F4">
        <v>0.93400000000000005</v>
      </c>
      <c r="H4">
        <v>0.93513333333333304</v>
      </c>
      <c r="I4">
        <v>0.92663333333333298</v>
      </c>
    </row>
    <row r="5" spans="1:9" x14ac:dyDescent="0.35">
      <c r="A5" t="s">
        <v>3</v>
      </c>
      <c r="B5">
        <v>0.95333333333333303</v>
      </c>
      <c r="C5">
        <v>0.95399999999999996</v>
      </c>
      <c r="E5">
        <v>0.9425</v>
      </c>
      <c r="F5">
        <v>0.93400000000000005</v>
      </c>
      <c r="H5">
        <v>0.93513333333333304</v>
      </c>
      <c r="I5">
        <v>0.92663333333333298</v>
      </c>
    </row>
    <row r="6" spans="1:9" x14ac:dyDescent="0.35">
      <c r="A6" t="s">
        <v>4</v>
      </c>
      <c r="B6">
        <v>0.95433333333333303</v>
      </c>
      <c r="C6">
        <v>0.955666666666667</v>
      </c>
      <c r="E6">
        <v>0.9425</v>
      </c>
      <c r="F6">
        <v>0.93400000000000005</v>
      </c>
      <c r="H6">
        <v>0.93513333333333304</v>
      </c>
      <c r="I6">
        <v>0.92663333333333298</v>
      </c>
    </row>
    <row r="7" spans="1:9" x14ac:dyDescent="0.35">
      <c r="A7" t="s">
        <v>5</v>
      </c>
      <c r="B7">
        <v>0.953666666666667</v>
      </c>
      <c r="C7">
        <v>0.94399999999999995</v>
      </c>
      <c r="E7">
        <v>0.9425</v>
      </c>
      <c r="F7">
        <v>0.93400000000000005</v>
      </c>
      <c r="H7">
        <v>0.93513333333333304</v>
      </c>
      <c r="I7">
        <v>0.92663333333333298</v>
      </c>
    </row>
    <row r="8" spans="1:9" x14ac:dyDescent="0.35">
      <c r="A8" t="s">
        <v>6</v>
      </c>
      <c r="B8">
        <v>0.98666666666666702</v>
      </c>
      <c r="C8">
        <v>0.958666666666667</v>
      </c>
      <c r="E8">
        <v>0.9425</v>
      </c>
      <c r="F8">
        <v>0.93400000000000005</v>
      </c>
      <c r="H8">
        <v>0.93513333333333304</v>
      </c>
      <c r="I8">
        <v>0.92663333333333298</v>
      </c>
    </row>
    <row r="9" spans="1:9" x14ac:dyDescent="0.35">
      <c r="A9" t="s">
        <v>7</v>
      </c>
      <c r="B9">
        <v>0.89233333333333298</v>
      </c>
      <c r="C9">
        <v>0.89300000000000002</v>
      </c>
      <c r="E9">
        <v>0.9425</v>
      </c>
      <c r="F9">
        <v>0.93400000000000005</v>
      </c>
      <c r="H9">
        <v>0.93513333333333304</v>
      </c>
      <c r="I9">
        <v>0.92663333333333298</v>
      </c>
    </row>
    <row r="10" spans="1:9" x14ac:dyDescent="0.35">
      <c r="A10" t="s">
        <v>8</v>
      </c>
      <c r="B10">
        <v>0.94599999999999995</v>
      </c>
      <c r="C10">
        <v>0.94399999999999995</v>
      </c>
      <c r="E10">
        <v>0.9425</v>
      </c>
      <c r="F10">
        <v>0.93400000000000005</v>
      </c>
      <c r="H10">
        <v>0.93513333333333304</v>
      </c>
      <c r="I10">
        <v>0.92663333333333298</v>
      </c>
    </row>
    <row r="11" spans="1:9" x14ac:dyDescent="0.35">
      <c r="A11" t="s">
        <v>9</v>
      </c>
      <c r="B11">
        <v>0.93033333333333301</v>
      </c>
      <c r="C11">
        <v>0.92766666666666697</v>
      </c>
      <c r="E11">
        <v>0.9425</v>
      </c>
      <c r="F11">
        <v>0.93400000000000005</v>
      </c>
      <c r="H11">
        <v>0.93513333333333304</v>
      </c>
      <c r="I11">
        <v>0.92663333333333298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defaultColWidth="11.453125" defaultRowHeight="14.5" x14ac:dyDescent="0.35"/>
  <sheetData>
    <row r="1" spans="1:5" x14ac:dyDescent="0.35">
      <c r="A1" t="s">
        <v>11</v>
      </c>
      <c r="B1" t="s">
        <v>147</v>
      </c>
      <c r="C1" t="s">
        <v>148</v>
      </c>
      <c r="D1" t="s">
        <v>33</v>
      </c>
      <c r="E1" t="s">
        <v>149</v>
      </c>
    </row>
    <row r="2" spans="1:5" x14ac:dyDescent="0.35">
      <c r="A2" t="s">
        <v>0</v>
      </c>
      <c r="B2">
        <v>616.33333333333303</v>
      </c>
      <c r="C2">
        <v>614.33333333333303</v>
      </c>
      <c r="D2">
        <v>-2</v>
      </c>
      <c r="E2">
        <v>-3.2449972958355899E-3</v>
      </c>
    </row>
    <row r="3" spans="1:5" x14ac:dyDescent="0.35">
      <c r="A3" t="s">
        <v>1</v>
      </c>
      <c r="B3">
        <v>315.33333333333297</v>
      </c>
      <c r="C3">
        <v>309.33333333333297</v>
      </c>
      <c r="D3">
        <v>-6</v>
      </c>
      <c r="E3">
        <v>-1.90274841437632E-2</v>
      </c>
    </row>
    <row r="4" spans="1:5" x14ac:dyDescent="0.35">
      <c r="A4" t="s">
        <v>2</v>
      </c>
      <c r="B4">
        <v>354.66666666666703</v>
      </c>
      <c r="C4">
        <v>362</v>
      </c>
      <c r="D4">
        <v>7.3333333333333099</v>
      </c>
      <c r="E4">
        <v>2.06766917293233E-2</v>
      </c>
    </row>
    <row r="5" spans="1:5" x14ac:dyDescent="0.35">
      <c r="A5" t="s">
        <v>3</v>
      </c>
      <c r="B5">
        <v>1237.6666666666699</v>
      </c>
      <c r="C5">
        <v>1299.3333333333301</v>
      </c>
      <c r="D5">
        <v>61.666666666666501</v>
      </c>
      <c r="E5">
        <v>4.9824939402100601E-2</v>
      </c>
    </row>
    <row r="6" spans="1:5" x14ac:dyDescent="0.35">
      <c r="A6" t="s">
        <v>4</v>
      </c>
      <c r="B6">
        <v>402.33333333333297</v>
      </c>
      <c r="C6">
        <v>412.33333333333297</v>
      </c>
      <c r="D6">
        <v>10</v>
      </c>
      <c r="E6">
        <v>2.48550124275062E-2</v>
      </c>
    </row>
    <row r="7" spans="1:5" x14ac:dyDescent="0.35">
      <c r="A7" t="s">
        <v>5</v>
      </c>
      <c r="B7">
        <v>683.66666666666697</v>
      </c>
      <c r="C7">
        <v>674.66666666666697</v>
      </c>
      <c r="D7">
        <v>-9</v>
      </c>
      <c r="E7">
        <v>-1.31643100926377E-2</v>
      </c>
    </row>
    <row r="8" spans="1:5" x14ac:dyDescent="0.35">
      <c r="A8" t="s">
        <v>6</v>
      </c>
      <c r="B8">
        <v>273</v>
      </c>
      <c r="C8">
        <v>252.333333333333</v>
      </c>
      <c r="D8">
        <v>-20.6666666666667</v>
      </c>
      <c r="E8">
        <v>-7.5702075702075697E-2</v>
      </c>
    </row>
    <row r="9" spans="1:5" x14ac:dyDescent="0.35">
      <c r="A9" t="s">
        <v>7</v>
      </c>
      <c r="B9">
        <v>650</v>
      </c>
      <c r="C9">
        <v>631.66666666666697</v>
      </c>
      <c r="D9">
        <v>-18.3333333333334</v>
      </c>
      <c r="E9">
        <v>-2.8205128205128299E-2</v>
      </c>
    </row>
    <row r="10" spans="1:5" x14ac:dyDescent="0.35">
      <c r="A10" t="s">
        <v>8</v>
      </c>
      <c r="B10">
        <v>862</v>
      </c>
      <c r="C10">
        <v>873.66666666666697</v>
      </c>
      <c r="D10">
        <v>11.6666666666666</v>
      </c>
      <c r="E10">
        <v>1.3534416086620199E-2</v>
      </c>
    </row>
    <row r="11" spans="1:5" x14ac:dyDescent="0.35">
      <c r="A11" t="s">
        <v>9</v>
      </c>
      <c r="B11">
        <v>453.66666666666703</v>
      </c>
      <c r="C11">
        <v>435</v>
      </c>
      <c r="D11">
        <v>-18.6666666666667</v>
      </c>
      <c r="E11">
        <v>-4.1146216017634102E-2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4"/>
  <sheetViews>
    <sheetView tabSelected="1" topLeftCell="P1" zoomScale="115" zoomScaleNormal="115" workbookViewId="0">
      <selection activeCell="X24" sqref="X24"/>
    </sheetView>
  </sheetViews>
  <sheetFormatPr defaultColWidth="11.453125" defaultRowHeight="14.5" x14ac:dyDescent="0.35"/>
  <cols>
    <col min="8" max="8" width="12.453125" bestFit="1" customWidth="1"/>
    <col min="17" max="17" width="18.90625" customWidth="1"/>
    <col min="18" max="18" width="21.26953125" bestFit="1" customWidth="1"/>
    <col min="19" max="19" width="22.08984375" bestFit="1" customWidth="1"/>
    <col min="20" max="20" width="21.36328125" bestFit="1" customWidth="1"/>
    <col min="21" max="21" width="22.1796875" bestFit="1" customWidth="1"/>
    <col min="23" max="23" width="21.6328125" bestFit="1" customWidth="1"/>
    <col min="24" max="24" width="22.453125" bestFit="1" customWidth="1"/>
    <col min="25" max="25" width="21.81640625" bestFit="1" customWidth="1"/>
    <col min="26" max="26" width="22.6328125" bestFit="1" customWidth="1"/>
  </cols>
  <sheetData>
    <row r="1" spans="1:26" ht="18.5" x14ac:dyDescent="0.45">
      <c r="A1" t="s">
        <v>11</v>
      </c>
      <c r="B1" t="s">
        <v>150</v>
      </c>
      <c r="C1" t="s">
        <v>151</v>
      </c>
      <c r="D1" t="s">
        <v>152</v>
      </c>
      <c r="E1" t="s">
        <v>153</v>
      </c>
      <c r="G1" t="s">
        <v>154</v>
      </c>
      <c r="H1" t="s">
        <v>155</v>
      </c>
      <c r="I1" t="s">
        <v>156</v>
      </c>
      <c r="J1" t="s">
        <v>157</v>
      </c>
      <c r="L1" t="s">
        <v>158</v>
      </c>
      <c r="M1" t="s">
        <v>159</v>
      </c>
      <c r="N1" t="s">
        <v>160</v>
      </c>
      <c r="O1" t="s">
        <v>161</v>
      </c>
      <c r="Q1" s="7"/>
      <c r="R1" s="17" t="s">
        <v>211</v>
      </c>
      <c r="S1" s="18"/>
      <c r="T1" s="18"/>
      <c r="U1" s="19"/>
      <c r="W1" s="17" t="s">
        <v>191</v>
      </c>
      <c r="X1" s="18"/>
      <c r="Y1" s="18"/>
      <c r="Z1" s="19"/>
    </row>
    <row r="2" spans="1:26" ht="14.5" customHeight="1" x14ac:dyDescent="0.35">
      <c r="A2" t="s">
        <v>0</v>
      </c>
      <c r="B2">
        <v>790.87125000000003</v>
      </c>
      <c r="C2">
        <v>1529.7122899999999</v>
      </c>
      <c r="D2">
        <v>821.729555</v>
      </c>
      <c r="E2">
        <v>1616.50494</v>
      </c>
      <c r="G2">
        <v>1887.02252</v>
      </c>
      <c r="H2">
        <v>1886.9864849999999</v>
      </c>
      <c r="I2">
        <v>828.41935999999998</v>
      </c>
      <c r="J2">
        <v>868.39169000000004</v>
      </c>
      <c r="L2">
        <v>1617.2966060000001</v>
      </c>
      <c r="M2">
        <v>1711.5772035</v>
      </c>
      <c r="N2">
        <v>690.43807649999997</v>
      </c>
      <c r="O2">
        <v>729.58934799999997</v>
      </c>
      <c r="R2" s="20" t="s">
        <v>16</v>
      </c>
      <c r="S2" s="16"/>
      <c r="T2" s="16" t="s">
        <v>213</v>
      </c>
      <c r="U2" s="21"/>
      <c r="W2" s="20" t="s">
        <v>16</v>
      </c>
      <c r="X2" s="16"/>
      <c r="Y2" s="16" t="s">
        <v>213</v>
      </c>
      <c r="Z2" s="21"/>
    </row>
    <row r="3" spans="1:26" x14ac:dyDescent="0.35">
      <c r="A3" t="s">
        <v>1</v>
      </c>
      <c r="B3">
        <v>395.24596000000003</v>
      </c>
      <c r="C3">
        <v>1585.5029050000001</v>
      </c>
      <c r="D3">
        <v>427.76143999999999</v>
      </c>
      <c r="E3">
        <v>1751.8567350000001</v>
      </c>
      <c r="G3">
        <v>1887.02252</v>
      </c>
      <c r="H3">
        <v>1886.9864849999999</v>
      </c>
      <c r="I3">
        <v>828.41935999999998</v>
      </c>
      <c r="J3">
        <v>868.39169000000004</v>
      </c>
      <c r="L3">
        <v>1617.2966060000001</v>
      </c>
      <c r="M3">
        <v>1711.5772035</v>
      </c>
      <c r="N3">
        <v>690.43807649999997</v>
      </c>
      <c r="O3">
        <v>729.58934799999997</v>
      </c>
      <c r="R3" s="12" t="s">
        <v>154</v>
      </c>
      <c r="S3" s="9" t="s">
        <v>155</v>
      </c>
      <c r="T3" s="8" t="s">
        <v>158</v>
      </c>
      <c r="U3" s="13" t="s">
        <v>159</v>
      </c>
      <c r="W3" s="12" t="s">
        <v>168</v>
      </c>
      <c r="X3" s="9" t="s">
        <v>169</v>
      </c>
      <c r="Y3" s="8" t="s">
        <v>174</v>
      </c>
      <c r="Z3" s="13" t="s">
        <v>175</v>
      </c>
    </row>
    <row r="4" spans="1:26" x14ac:dyDescent="0.35">
      <c r="A4" t="s">
        <v>2</v>
      </c>
      <c r="B4">
        <v>341.11096500000002</v>
      </c>
      <c r="C4">
        <v>736.20944499999996</v>
      </c>
      <c r="D4">
        <v>371.49784</v>
      </c>
      <c r="E4">
        <v>781.89994000000002</v>
      </c>
      <c r="G4">
        <v>1887.02252</v>
      </c>
      <c r="H4">
        <v>1886.9864849999999</v>
      </c>
      <c r="I4">
        <v>828.41935999999998</v>
      </c>
      <c r="J4">
        <v>868.39169000000004</v>
      </c>
      <c r="L4">
        <v>1617.2966060000001</v>
      </c>
      <c r="M4">
        <v>1711.5772035</v>
      </c>
      <c r="N4">
        <v>690.43807649999997</v>
      </c>
      <c r="O4">
        <v>729.58934799999997</v>
      </c>
      <c r="R4" s="14">
        <v>1887.02252</v>
      </c>
      <c r="S4" s="11">
        <v>1886.9864849999999</v>
      </c>
      <c r="T4" s="10">
        <v>1617.2966060000001</v>
      </c>
      <c r="U4" s="15">
        <v>1711.5772035</v>
      </c>
      <c r="W4" s="14">
        <v>182</v>
      </c>
      <c r="X4" s="11">
        <v>199.5</v>
      </c>
      <c r="Y4" s="10">
        <v>190.833333333333</v>
      </c>
      <c r="Z4" s="15">
        <v>167.666666666667</v>
      </c>
    </row>
    <row r="5" spans="1:26" x14ac:dyDescent="0.35">
      <c r="A5" t="s">
        <v>3</v>
      </c>
      <c r="B5">
        <v>1220.2454250000001</v>
      </c>
      <c r="C5">
        <v>2869.8464100000001</v>
      </c>
      <c r="D5">
        <v>1311.4297549999999</v>
      </c>
      <c r="E5">
        <v>3063.64662</v>
      </c>
      <c r="G5">
        <v>1887.02252</v>
      </c>
      <c r="H5">
        <v>1886.9864849999999</v>
      </c>
      <c r="I5">
        <v>828.41935999999998</v>
      </c>
      <c r="J5">
        <v>868.39169000000004</v>
      </c>
      <c r="L5">
        <v>1617.2966060000001</v>
      </c>
      <c r="M5">
        <v>1711.5772035</v>
      </c>
      <c r="N5">
        <v>690.43807649999997</v>
      </c>
      <c r="O5">
        <v>729.58934799999997</v>
      </c>
      <c r="R5" s="22">
        <f>(S4-R4)/R4</f>
        <v>-1.9096221490819055E-5</v>
      </c>
      <c r="S5" s="23"/>
      <c r="T5" s="24">
        <f>(U4-T4)/T4</f>
        <v>5.8295180457455235E-2</v>
      </c>
      <c r="U5" s="25"/>
      <c r="W5" s="30">
        <f>(X4-W4)/W4</f>
        <v>9.6153846153846159E-2</v>
      </c>
      <c r="X5" s="31"/>
      <c r="Y5" s="31">
        <f>(Z4-Y4)/Y4</f>
        <v>-0.12139737991266049</v>
      </c>
      <c r="Z5" s="34"/>
    </row>
    <row r="6" spans="1:26" ht="15" thickBot="1" x14ac:dyDescent="0.4">
      <c r="A6" t="s">
        <v>4</v>
      </c>
      <c r="B6">
        <v>462.22019999999998</v>
      </c>
      <c r="C6">
        <v>1464.18685</v>
      </c>
      <c r="D6">
        <v>520.01530000000002</v>
      </c>
      <c r="E6">
        <v>1591.7258449999999</v>
      </c>
      <c r="G6">
        <v>1887.02252</v>
      </c>
      <c r="H6">
        <v>1886.9864849999999</v>
      </c>
      <c r="I6">
        <v>828.41935999999998</v>
      </c>
      <c r="J6">
        <v>868.39169000000004</v>
      </c>
      <c r="L6">
        <v>1617.2966060000001</v>
      </c>
      <c r="M6">
        <v>1711.5772035</v>
      </c>
      <c r="N6">
        <v>690.43807649999997</v>
      </c>
      <c r="O6">
        <v>729.58934799999997</v>
      </c>
      <c r="R6" s="26"/>
      <c r="S6" s="27"/>
      <c r="T6" s="28"/>
      <c r="U6" s="29"/>
      <c r="W6" s="32"/>
      <c r="X6" s="33"/>
      <c r="Y6" s="33"/>
      <c r="Z6" s="35"/>
    </row>
    <row r="7" spans="1:26" ht="15" thickBot="1" x14ac:dyDescent="0.4">
      <c r="A7" t="s">
        <v>5</v>
      </c>
      <c r="B7">
        <v>680.59187499999996</v>
      </c>
      <c r="C7">
        <v>1378.94046</v>
      </c>
      <c r="D7">
        <v>722.44801500000005</v>
      </c>
      <c r="E7">
        <v>1426.0453950000001</v>
      </c>
      <c r="G7">
        <v>1887.02252</v>
      </c>
      <c r="H7">
        <v>1886.9864849999999</v>
      </c>
      <c r="I7">
        <v>828.41935999999998</v>
      </c>
      <c r="J7">
        <v>868.39169000000004</v>
      </c>
      <c r="L7">
        <v>1617.2966060000001</v>
      </c>
      <c r="M7">
        <v>1711.5772035</v>
      </c>
      <c r="N7">
        <v>690.43807649999997</v>
      </c>
      <c r="O7">
        <v>729.58934799999997</v>
      </c>
    </row>
    <row r="8" spans="1:26" ht="18.5" x14ac:dyDescent="0.45">
      <c r="A8" t="s">
        <v>6</v>
      </c>
      <c r="B8">
        <v>552.89049</v>
      </c>
      <c r="C8">
        <v>1124.75413</v>
      </c>
      <c r="D8">
        <v>578.98358499999995</v>
      </c>
      <c r="E8">
        <v>1228.6607899999999</v>
      </c>
      <c r="G8">
        <v>1887.02252</v>
      </c>
      <c r="H8">
        <v>1886.9864849999999</v>
      </c>
      <c r="I8">
        <v>828.41935999999998</v>
      </c>
      <c r="J8">
        <v>868.39169000000004</v>
      </c>
      <c r="L8">
        <v>1617.2966060000001</v>
      </c>
      <c r="M8">
        <v>1711.5772035</v>
      </c>
      <c r="N8">
        <v>690.43807649999997</v>
      </c>
      <c r="O8">
        <v>729.58934799999997</v>
      </c>
      <c r="R8" s="17" t="s">
        <v>212</v>
      </c>
      <c r="S8" s="18"/>
      <c r="T8" s="18"/>
      <c r="U8" s="19"/>
      <c r="W8" s="17" t="s">
        <v>193</v>
      </c>
      <c r="X8" s="18"/>
      <c r="Y8" s="18"/>
      <c r="Z8" s="19"/>
    </row>
    <row r="9" spans="1:26" ht="14.5" customHeight="1" x14ac:dyDescent="0.35">
      <c r="A9" t="s">
        <v>7</v>
      </c>
      <c r="B9">
        <v>874.14368999999999</v>
      </c>
      <c r="C9">
        <v>1714.292355</v>
      </c>
      <c r="D9">
        <v>868.39169000000004</v>
      </c>
      <c r="E9">
        <v>1729.9559400000001</v>
      </c>
      <c r="G9">
        <v>1887.02252</v>
      </c>
      <c r="H9">
        <v>1886.9864849999999</v>
      </c>
      <c r="I9">
        <v>828.41935999999998</v>
      </c>
      <c r="J9">
        <v>868.39169000000004</v>
      </c>
      <c r="L9">
        <v>1617.2966060000001</v>
      </c>
      <c r="M9">
        <v>1711.5772035</v>
      </c>
      <c r="N9">
        <v>690.43807649999997</v>
      </c>
      <c r="O9">
        <v>729.58934799999997</v>
      </c>
      <c r="R9" s="20" t="s">
        <v>16</v>
      </c>
      <c r="S9" s="16"/>
      <c r="T9" s="16" t="s">
        <v>213</v>
      </c>
      <c r="U9" s="21"/>
      <c r="W9" s="20" t="s">
        <v>16</v>
      </c>
      <c r="X9" s="16"/>
      <c r="Y9" s="16" t="s">
        <v>213</v>
      </c>
      <c r="Z9" s="21"/>
    </row>
    <row r="10" spans="1:26" x14ac:dyDescent="0.35">
      <c r="A10" t="s">
        <v>8</v>
      </c>
      <c r="B10">
        <v>794.21776999999997</v>
      </c>
      <c r="C10">
        <v>1873.323535</v>
      </c>
      <c r="D10">
        <v>849.27737500000001</v>
      </c>
      <c r="E10">
        <v>2045.2633149999999</v>
      </c>
      <c r="G10">
        <v>1887.02252</v>
      </c>
      <c r="H10">
        <v>1886.9864849999999</v>
      </c>
      <c r="I10">
        <v>828.41935999999998</v>
      </c>
      <c r="J10">
        <v>868.39169000000004</v>
      </c>
      <c r="L10">
        <v>1617.2966060000001</v>
      </c>
      <c r="M10">
        <v>1711.5772035</v>
      </c>
      <c r="N10">
        <v>690.43807649999997</v>
      </c>
      <c r="O10">
        <v>729.58934799999997</v>
      </c>
      <c r="R10" s="12" t="s">
        <v>156</v>
      </c>
      <c r="S10" s="9" t="s">
        <v>157</v>
      </c>
      <c r="T10" s="8" t="s">
        <v>160</v>
      </c>
      <c r="U10" s="13" t="s">
        <v>161</v>
      </c>
      <c r="W10" s="12" t="s">
        <v>170</v>
      </c>
      <c r="X10" s="9" t="s">
        <v>171</v>
      </c>
      <c r="Y10" s="8" t="s">
        <v>176</v>
      </c>
      <c r="Z10" s="13" t="s">
        <v>177</v>
      </c>
    </row>
    <row r="11" spans="1:26" x14ac:dyDescent="0.35">
      <c r="A11" t="s">
        <v>9</v>
      </c>
      <c r="B11">
        <v>792.84313999999995</v>
      </c>
      <c r="C11">
        <v>1896.19768</v>
      </c>
      <c r="D11">
        <v>824.358925</v>
      </c>
      <c r="E11">
        <v>1880.2125149999999</v>
      </c>
      <c r="G11">
        <v>1887.02252</v>
      </c>
      <c r="H11">
        <v>1886.9864849999999</v>
      </c>
      <c r="I11">
        <v>828.41935999999998</v>
      </c>
      <c r="J11">
        <v>868.39169000000004</v>
      </c>
      <c r="L11">
        <v>1617.2966060000001</v>
      </c>
      <c r="M11">
        <v>1711.5772035</v>
      </c>
      <c r="N11">
        <v>690.43807649999997</v>
      </c>
      <c r="O11">
        <v>729.58934799999997</v>
      </c>
      <c r="R11" s="14">
        <v>828.41935999999998</v>
      </c>
      <c r="S11" s="11">
        <v>868.39169000000004</v>
      </c>
      <c r="T11" s="10">
        <v>690.43807649999997</v>
      </c>
      <c r="U11" s="15">
        <v>729.58934799999997</v>
      </c>
      <c r="W11" s="14">
        <v>61</v>
      </c>
      <c r="X11" s="11">
        <v>61</v>
      </c>
      <c r="Y11" s="10">
        <v>45.4</v>
      </c>
      <c r="Z11" s="15">
        <v>36.4</v>
      </c>
    </row>
    <row r="12" spans="1:26" x14ac:dyDescent="0.35">
      <c r="R12" s="22">
        <f>(S11-R11)/R11</f>
        <v>4.8251322856578412E-2</v>
      </c>
      <c r="S12" s="23"/>
      <c r="T12" s="40">
        <f>(U11-T11)/T11</f>
        <v>5.6704971571769923E-2</v>
      </c>
      <c r="U12" s="41"/>
      <c r="W12" s="30">
        <f>(X11-W11)/W11</f>
        <v>0</v>
      </c>
      <c r="X12" s="31"/>
      <c r="Y12" s="31">
        <f>(Z11-Y11)/Y11</f>
        <v>-0.19823788546255508</v>
      </c>
      <c r="Z12" s="34"/>
    </row>
    <row r="13" spans="1:26" ht="15" thickBot="1" x14ac:dyDescent="0.4">
      <c r="E13" t="s">
        <v>210</v>
      </c>
      <c r="R13" s="26"/>
      <c r="S13" s="27"/>
      <c r="T13" s="42"/>
      <c r="U13" s="43"/>
      <c r="W13" s="32"/>
      <c r="X13" s="33"/>
      <c r="Y13" s="33"/>
      <c r="Z13" s="35"/>
    </row>
    <row r="14" spans="1:26" ht="15" thickBot="1" x14ac:dyDescent="0.4">
      <c r="A14" t="s">
        <v>0</v>
      </c>
      <c r="C14" s="1">
        <f>(E2-C2)/C2</f>
        <v>5.673789154168337E-2</v>
      </c>
      <c r="D14" s="1">
        <f>(D2-B2)/B2</f>
        <v>3.9018114516111153E-2</v>
      </c>
      <c r="E14" s="6">
        <f>C14-$H$14</f>
        <v>5.6756987763174192E-2</v>
      </c>
      <c r="F14" s="6">
        <f>D14-$J$14</f>
        <v>-9.2332083404672582E-3</v>
      </c>
      <c r="H14" s="1">
        <f>(H11-G11)/G11</f>
        <v>-1.9096221490819055E-5</v>
      </c>
      <c r="J14" s="1">
        <f>(J11-I11)/I11</f>
        <v>4.8251322856578412E-2</v>
      </c>
      <c r="M14" s="1">
        <f>(M11-L11)/L11</f>
        <v>5.8295180457455235E-2</v>
      </c>
      <c r="O14" s="1">
        <f>(O11-N11)/N11</f>
        <v>5.6704971571769923E-2</v>
      </c>
      <c r="Q14" s="1"/>
    </row>
    <row r="15" spans="1:26" ht="18.5" x14ac:dyDescent="0.45">
      <c r="A15" t="s">
        <v>1</v>
      </c>
      <c r="C15" s="1">
        <f t="shared" ref="C15:C23" si="0">(E3-C3)/C3</f>
        <v>0.10492180712844548</v>
      </c>
      <c r="D15" s="1">
        <f t="shared" ref="D15:D23" si="1">(D3-B3)/B3</f>
        <v>8.2266444924572954E-2</v>
      </c>
      <c r="E15" s="6">
        <f t="shared" ref="E15:E23" si="2">C15-$H$14</f>
        <v>0.1049409033499363</v>
      </c>
      <c r="F15" s="6">
        <f t="shared" ref="F15:F23" si="3">D15-$J$14</f>
        <v>3.4015122067994542E-2</v>
      </c>
      <c r="R15" s="17" t="s">
        <v>214</v>
      </c>
      <c r="S15" s="18"/>
      <c r="T15" s="18"/>
      <c r="U15" s="19"/>
      <c r="W15" s="17" t="s">
        <v>194</v>
      </c>
      <c r="X15" s="18"/>
      <c r="Y15" s="18"/>
      <c r="Z15" s="19"/>
    </row>
    <row r="16" spans="1:26" ht="14.5" customHeight="1" x14ac:dyDescent="0.35">
      <c r="A16" t="s">
        <v>2</v>
      </c>
      <c r="C16" s="1">
        <f t="shared" si="0"/>
        <v>6.2061815846440355E-2</v>
      </c>
      <c r="D16" s="1">
        <f t="shared" si="1"/>
        <v>8.9082082131250087E-2</v>
      </c>
      <c r="E16" s="6">
        <f t="shared" si="2"/>
        <v>6.2080912067931177E-2</v>
      </c>
      <c r="F16" s="6">
        <f t="shared" si="3"/>
        <v>4.0830759274671675E-2</v>
      </c>
      <c r="R16" s="20" t="s">
        <v>16</v>
      </c>
      <c r="S16" s="16"/>
      <c r="T16" s="16" t="s">
        <v>213</v>
      </c>
      <c r="U16" s="21"/>
      <c r="W16" s="20" t="s">
        <v>16</v>
      </c>
      <c r="X16" s="16"/>
      <c r="Y16" s="16" t="s">
        <v>213</v>
      </c>
      <c r="Z16" s="21"/>
    </row>
    <row r="17" spans="1:26" x14ac:dyDescent="0.35">
      <c r="A17" t="s">
        <v>3</v>
      </c>
      <c r="C17" s="1">
        <f t="shared" si="0"/>
        <v>6.7529819479084902E-2</v>
      </c>
      <c r="D17" s="1">
        <f t="shared" si="1"/>
        <v>7.4726221571369392E-2</v>
      </c>
      <c r="E17" s="6">
        <f t="shared" si="2"/>
        <v>6.7548915700575723E-2</v>
      </c>
      <c r="F17" s="6">
        <f t="shared" si="3"/>
        <v>2.647489871479098E-2</v>
      </c>
      <c r="R17" s="12" t="s">
        <v>143</v>
      </c>
      <c r="S17" s="9" t="s">
        <v>144</v>
      </c>
      <c r="T17" s="8" t="s">
        <v>145</v>
      </c>
      <c r="U17" s="13" t="s">
        <v>146</v>
      </c>
      <c r="W17" s="12" t="s">
        <v>172</v>
      </c>
      <c r="X17" s="9" t="s">
        <v>173</v>
      </c>
      <c r="Y17" s="8" t="s">
        <v>178</v>
      </c>
      <c r="Z17" s="13" t="s">
        <v>179</v>
      </c>
    </row>
    <row r="18" spans="1:26" x14ac:dyDescent="0.35">
      <c r="A18" t="s">
        <v>4</v>
      </c>
      <c r="C18" s="1">
        <f t="shared" si="0"/>
        <v>8.7105682584159169E-2</v>
      </c>
      <c r="D18" s="1">
        <f t="shared" si="1"/>
        <v>0.12503802300288921</v>
      </c>
      <c r="E18" s="6">
        <f t="shared" si="2"/>
        <v>8.7124778805649991E-2</v>
      </c>
      <c r="F18" s="6">
        <f t="shared" si="3"/>
        <v>7.678670014631081E-2</v>
      </c>
      <c r="R18" s="14">
        <v>0.9425</v>
      </c>
      <c r="S18" s="11">
        <v>0.93400000000000005</v>
      </c>
      <c r="T18" s="10">
        <v>0.93513333333333304</v>
      </c>
      <c r="U18" s="15">
        <v>0.92663333333333298</v>
      </c>
      <c r="W18" s="14">
        <v>42</v>
      </c>
      <c r="X18" s="11">
        <v>42</v>
      </c>
      <c r="Y18" s="10">
        <v>51.733333333333299</v>
      </c>
      <c r="Z18" s="15">
        <v>27.033333333333299</v>
      </c>
    </row>
    <row r="19" spans="1:26" x14ac:dyDescent="0.35">
      <c r="A19" t="s">
        <v>5</v>
      </c>
      <c r="C19" s="1">
        <f t="shared" si="0"/>
        <v>3.4160238506599529E-2</v>
      </c>
      <c r="D19" s="1">
        <f t="shared" si="1"/>
        <v>6.1499617520412067E-2</v>
      </c>
      <c r="E19" s="6">
        <f t="shared" si="2"/>
        <v>3.4179334728090351E-2</v>
      </c>
      <c r="F19" s="6">
        <f t="shared" si="3"/>
        <v>1.3248294663833655E-2</v>
      </c>
      <c r="R19" s="30">
        <f>(S18-R18)/R18</f>
        <v>-9.0185676392572443E-3</v>
      </c>
      <c r="S19" s="31"/>
      <c r="T19" s="36">
        <f>(U18-T18)/T18</f>
        <v>-9.0896128894276031E-3</v>
      </c>
      <c r="U19" s="37"/>
      <c r="W19" s="30">
        <f>(X18-W18)/W18</f>
        <v>0</v>
      </c>
      <c r="X19" s="31"/>
      <c r="Y19" s="31">
        <f>(Z18-Y18)/Y18</f>
        <v>-0.47744845360824772</v>
      </c>
      <c r="Z19" s="34"/>
    </row>
    <row r="20" spans="1:26" ht="15" thickBot="1" x14ac:dyDescent="0.4">
      <c r="A20" t="s">
        <v>6</v>
      </c>
      <c r="C20" s="1">
        <f t="shared" si="0"/>
        <v>9.2381665671234181E-2</v>
      </c>
      <c r="D20" s="1">
        <f t="shared" si="1"/>
        <v>4.719396602390457E-2</v>
      </c>
      <c r="E20" s="6">
        <f t="shared" si="2"/>
        <v>9.2400761892725003E-2</v>
      </c>
      <c r="F20" s="6">
        <f t="shared" si="3"/>
        <v>-1.057356832673842E-3</v>
      </c>
      <c r="R20" s="32"/>
      <c r="S20" s="33"/>
      <c r="T20" s="38"/>
      <c r="U20" s="39"/>
      <c r="W20" s="32"/>
      <c r="X20" s="33"/>
      <c r="Y20" s="33"/>
      <c r="Z20" s="35"/>
    </row>
    <row r="21" spans="1:26" ht="15" thickBot="1" x14ac:dyDescent="0.4">
      <c r="A21" t="s">
        <v>7</v>
      </c>
      <c r="C21" s="1">
        <f t="shared" si="0"/>
        <v>9.1370558553298866E-3</v>
      </c>
      <c r="D21" s="1">
        <f t="shared" si="1"/>
        <v>-6.5801538875147093E-3</v>
      </c>
      <c r="E21" s="6">
        <f t="shared" si="2"/>
        <v>9.156152076820705E-3</v>
      </c>
      <c r="F21" s="6">
        <f t="shared" si="3"/>
        <v>-5.4831476744093124E-2</v>
      </c>
    </row>
    <row r="22" spans="1:26" ht="18.5" x14ac:dyDescent="0.45">
      <c r="A22" t="s">
        <v>8</v>
      </c>
      <c r="C22" s="1">
        <f t="shared" si="0"/>
        <v>9.1783280777497908E-2</v>
      </c>
      <c r="D22" s="1">
        <f t="shared" si="1"/>
        <v>6.9325576787333823E-2</v>
      </c>
      <c r="E22" s="6">
        <f t="shared" si="2"/>
        <v>9.180237699898873E-2</v>
      </c>
      <c r="F22" s="6">
        <f t="shared" si="3"/>
        <v>2.1074253930755411E-2</v>
      </c>
      <c r="R22" s="17" t="s">
        <v>215</v>
      </c>
      <c r="S22" s="18"/>
      <c r="T22" s="18"/>
      <c r="U22" s="19"/>
    </row>
    <row r="23" spans="1:26" x14ac:dyDescent="0.35">
      <c r="A23" t="s">
        <v>9</v>
      </c>
      <c r="C23" s="1">
        <f t="shared" si="0"/>
        <v>-8.4301152609785133E-3</v>
      </c>
      <c r="D23" s="1">
        <f t="shared" si="1"/>
        <v>3.9750340779892541E-2</v>
      </c>
      <c r="E23" s="6">
        <f t="shared" si="2"/>
        <v>-8.4110190394876948E-3</v>
      </c>
      <c r="F23" s="6">
        <f t="shared" si="3"/>
        <v>-8.5009820766858701E-3</v>
      </c>
      <c r="R23" s="20" t="s">
        <v>16</v>
      </c>
      <c r="S23" s="16"/>
      <c r="T23" s="16" t="s">
        <v>213</v>
      </c>
      <c r="U23" s="21"/>
    </row>
    <row r="24" spans="1:26" x14ac:dyDescent="0.35">
      <c r="R24" s="12" t="s">
        <v>182</v>
      </c>
      <c r="S24" s="9" t="s">
        <v>183</v>
      </c>
      <c r="T24" s="8" t="s">
        <v>145</v>
      </c>
      <c r="U24" s="13" t="s">
        <v>146</v>
      </c>
    </row>
    <row r="25" spans="1:26" x14ac:dyDescent="0.35">
      <c r="A25" t="s">
        <v>4</v>
      </c>
      <c r="C25" s="1">
        <v>8.7105682584159169E-2</v>
      </c>
      <c r="D25" s="1">
        <v>0.12503802300288921</v>
      </c>
      <c r="R25" s="14">
        <v>5.8035019455252899</v>
      </c>
      <c r="S25" s="11">
        <v>5.86493920092646</v>
      </c>
      <c r="T25" s="10">
        <v>8.1335907774080898</v>
      </c>
      <c r="U25" s="15">
        <v>5.5712091081055499</v>
      </c>
    </row>
    <row r="26" spans="1:26" x14ac:dyDescent="0.35">
      <c r="A26" t="s">
        <v>2</v>
      </c>
      <c r="C26" s="1">
        <v>6.2061815846440355E-2</v>
      </c>
      <c r="D26" s="1">
        <v>8.9082082131250087E-2</v>
      </c>
      <c r="R26" s="30">
        <f>(S25-R25)/R25</f>
        <v>1.0586238443245553E-2</v>
      </c>
      <c r="S26" s="31"/>
      <c r="T26" s="44">
        <f>(U25-T25)/T25</f>
        <v>-0.31503695470146181</v>
      </c>
      <c r="U26" s="45"/>
    </row>
    <row r="27" spans="1:26" ht="15" thickBot="1" x14ac:dyDescent="0.4">
      <c r="A27" t="s">
        <v>1</v>
      </c>
      <c r="C27" s="1">
        <v>0.10492180712844548</v>
      </c>
      <c r="D27" s="1">
        <v>8.2266444924572954E-2</v>
      </c>
      <c r="R27" s="32"/>
      <c r="S27" s="33"/>
      <c r="T27" s="46"/>
      <c r="U27" s="47"/>
    </row>
    <row r="28" spans="1:26" x14ac:dyDescent="0.35">
      <c r="A28" t="s">
        <v>3</v>
      </c>
      <c r="C28" s="1">
        <v>6.7529819479084902E-2</v>
      </c>
      <c r="D28" s="1">
        <v>7.4726221571369392E-2</v>
      </c>
    </row>
    <row r="29" spans="1:26" x14ac:dyDescent="0.35">
      <c r="A29" t="s">
        <v>8</v>
      </c>
      <c r="C29" s="1">
        <v>9.1783280777497908E-2</v>
      </c>
      <c r="D29" s="1">
        <v>6.9325576787333823E-2</v>
      </c>
    </row>
    <row r="30" spans="1:26" x14ac:dyDescent="0.35">
      <c r="A30" t="s">
        <v>5</v>
      </c>
      <c r="C30" s="1">
        <v>3.4160238506599529E-2</v>
      </c>
      <c r="D30" s="1">
        <v>6.1499617520412067E-2</v>
      </c>
    </row>
    <row r="31" spans="1:26" x14ac:dyDescent="0.35">
      <c r="A31" t="s">
        <v>6</v>
      </c>
      <c r="C31" s="1">
        <v>9.2381665671234181E-2</v>
      </c>
      <c r="D31" s="1">
        <v>4.719396602390457E-2</v>
      </c>
    </row>
    <row r="32" spans="1:26" x14ac:dyDescent="0.35">
      <c r="A32" t="s">
        <v>9</v>
      </c>
      <c r="C32" s="1">
        <v>-8.4301152609785133E-3</v>
      </c>
      <c r="D32" s="1">
        <v>3.9750340779892541E-2</v>
      </c>
    </row>
    <row r="33" spans="1:4" x14ac:dyDescent="0.35">
      <c r="A33" t="s">
        <v>0</v>
      </c>
      <c r="C33" s="1">
        <v>5.673789154168337E-2</v>
      </c>
      <c r="D33" s="1">
        <v>3.9018114516111153E-2</v>
      </c>
    </row>
    <row r="34" spans="1:4" x14ac:dyDescent="0.35">
      <c r="A34" t="s">
        <v>7</v>
      </c>
      <c r="C34" s="1">
        <v>9.1370558553298866E-3</v>
      </c>
      <c r="D34" s="1">
        <v>-6.5801538875147093E-3</v>
      </c>
    </row>
  </sheetData>
  <sortState xmlns:xlrd2="http://schemas.microsoft.com/office/spreadsheetml/2017/richdata2" ref="A25:D34">
    <sortCondition descending="1" ref="D25:D34"/>
  </sortState>
  <mergeCells count="35">
    <mergeCell ref="W12:X13"/>
    <mergeCell ref="Y19:Z20"/>
    <mergeCell ref="W19:X20"/>
    <mergeCell ref="R22:U22"/>
    <mergeCell ref="R23:S23"/>
    <mergeCell ref="T23:U23"/>
    <mergeCell ref="R5:S6"/>
    <mergeCell ref="T26:U27"/>
    <mergeCell ref="R26:S27"/>
    <mergeCell ref="T19:U20"/>
    <mergeCell ref="R19:S20"/>
    <mergeCell ref="T12:U13"/>
    <mergeCell ref="R12:S13"/>
    <mergeCell ref="W1:Z1"/>
    <mergeCell ref="W2:X2"/>
    <mergeCell ref="Y2:Z2"/>
    <mergeCell ref="Y9:Z9"/>
    <mergeCell ref="W16:X16"/>
    <mergeCell ref="Y16:Z16"/>
    <mergeCell ref="Y5:Z6"/>
    <mergeCell ref="W5:X6"/>
    <mergeCell ref="Y12:Z13"/>
    <mergeCell ref="W15:Z15"/>
    <mergeCell ref="W8:Z8"/>
    <mergeCell ref="W9:X9"/>
    <mergeCell ref="T2:U2"/>
    <mergeCell ref="R8:U8"/>
    <mergeCell ref="R9:S9"/>
    <mergeCell ref="T9:U9"/>
    <mergeCell ref="R15:U15"/>
    <mergeCell ref="R16:S16"/>
    <mergeCell ref="T16:U16"/>
    <mergeCell ref="T5:U6"/>
    <mergeCell ref="R1:U1"/>
    <mergeCell ref="R2:S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81"/>
  <sheetViews>
    <sheetView zoomScale="85" zoomScaleNormal="85" workbookViewId="0">
      <selection activeCell="R1" sqref="R1:S2"/>
    </sheetView>
  </sheetViews>
  <sheetFormatPr defaultColWidth="11.453125" defaultRowHeight="14.5" x14ac:dyDescent="0.35"/>
  <sheetData>
    <row r="1" spans="1:28" x14ac:dyDescent="0.35">
      <c r="A1" t="s">
        <v>11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V1" t="s">
        <v>195</v>
      </c>
      <c r="W1" t="s">
        <v>196</v>
      </c>
      <c r="X1" t="s">
        <v>197</v>
      </c>
      <c r="Z1" t="s">
        <v>198</v>
      </c>
      <c r="AA1" t="s">
        <v>199</v>
      </c>
    </row>
    <row r="2" spans="1:28" x14ac:dyDescent="0.35">
      <c r="A2" t="s">
        <v>0</v>
      </c>
      <c r="B2">
        <v>102</v>
      </c>
      <c r="C2">
        <v>21</v>
      </c>
      <c r="D2">
        <v>17</v>
      </c>
      <c r="E2">
        <v>117.666666666667</v>
      </c>
      <c r="F2">
        <v>9.3333333333333304</v>
      </c>
      <c r="G2">
        <v>18.3333333333333</v>
      </c>
      <c r="H2">
        <v>182</v>
      </c>
      <c r="I2">
        <v>199.5</v>
      </c>
      <c r="J2">
        <v>61</v>
      </c>
      <c r="K2">
        <v>61</v>
      </c>
      <c r="L2">
        <v>42</v>
      </c>
      <c r="M2">
        <v>42</v>
      </c>
      <c r="N2">
        <v>190.833333333333</v>
      </c>
      <c r="O2">
        <v>167.666666666667</v>
      </c>
      <c r="P2">
        <v>45.4</v>
      </c>
      <c r="Q2">
        <v>36.4</v>
      </c>
      <c r="R2">
        <v>51.733333333333299</v>
      </c>
      <c r="S2">
        <v>27.033333333333299</v>
      </c>
      <c r="V2" s="3">
        <f>(E2-B2)/B2</f>
        <v>0.15359477124183332</v>
      </c>
      <c r="W2" s="3">
        <f>(F2-C2)/C2</f>
        <v>-0.55555555555555569</v>
      </c>
      <c r="X2" s="3">
        <f>(G2-D2)/D2</f>
        <v>7.8431372549017664E-2</v>
      </c>
      <c r="Z2" s="5">
        <f>SUM(B2:D2)</f>
        <v>140</v>
      </c>
      <c r="AA2" s="5">
        <f>SUM(E2:G2)</f>
        <v>145.33333333333363</v>
      </c>
      <c r="AB2" s="3">
        <f>(AA2-Z2)/Z2</f>
        <v>3.8095238095240194E-2</v>
      </c>
    </row>
    <row r="3" spans="1:28" x14ac:dyDescent="0.35">
      <c r="A3" t="s">
        <v>1</v>
      </c>
      <c r="B3">
        <v>54</v>
      </c>
      <c r="C3">
        <v>25.6666666666667</v>
      </c>
      <c r="D3">
        <v>39.6666666666667</v>
      </c>
      <c r="E3">
        <v>58.3333333333333</v>
      </c>
      <c r="F3">
        <v>31.6666666666667</v>
      </c>
      <c r="G3">
        <v>16</v>
      </c>
      <c r="H3">
        <v>182</v>
      </c>
      <c r="I3">
        <v>199.5</v>
      </c>
      <c r="J3">
        <v>61</v>
      </c>
      <c r="K3">
        <v>61</v>
      </c>
      <c r="L3">
        <v>42</v>
      </c>
      <c r="M3">
        <v>42</v>
      </c>
      <c r="N3">
        <v>190.833333333333</v>
      </c>
      <c r="O3">
        <v>167.666666666667</v>
      </c>
      <c r="P3">
        <v>45.4</v>
      </c>
      <c r="Q3">
        <v>36.4</v>
      </c>
      <c r="R3">
        <v>51.733333333333299</v>
      </c>
      <c r="S3">
        <v>27.033333333333299</v>
      </c>
      <c r="V3" s="3">
        <f t="shared" ref="V3:V11" si="0">(E3-B3)/B3</f>
        <v>8.0246913580246299E-2</v>
      </c>
      <c r="W3" s="3">
        <f t="shared" ref="W3:W11" si="1">(F3-C3)/C3</f>
        <v>0.23376623376623346</v>
      </c>
      <c r="X3" s="3">
        <f t="shared" ref="X3:X11" si="2">(G3-D3)/D3</f>
        <v>-0.5966386554621852</v>
      </c>
      <c r="Z3" s="5">
        <f t="shared" ref="Z3:Z11" si="3">SUM(B3:D3)</f>
        <v>119.3333333333334</v>
      </c>
      <c r="AA3" s="5">
        <f t="shared" ref="AA3:AA11" si="4">SUM(E3:G3)</f>
        <v>106</v>
      </c>
      <c r="AB3" s="3">
        <f t="shared" ref="AB3:AB11" si="5">(AA3-Z3)/Z3</f>
        <v>-0.11173184357541949</v>
      </c>
    </row>
    <row r="4" spans="1:28" x14ac:dyDescent="0.35">
      <c r="A4" t="s">
        <v>2</v>
      </c>
      <c r="B4">
        <v>132.666666666667</v>
      </c>
      <c r="C4">
        <v>34</v>
      </c>
      <c r="D4">
        <v>24.3333333333333</v>
      </c>
      <c r="E4">
        <v>91.3333333333333</v>
      </c>
      <c r="F4">
        <v>36</v>
      </c>
      <c r="G4">
        <v>24</v>
      </c>
      <c r="H4">
        <v>182</v>
      </c>
      <c r="I4">
        <v>199.5</v>
      </c>
      <c r="J4">
        <v>61</v>
      </c>
      <c r="K4">
        <v>61</v>
      </c>
      <c r="L4">
        <v>42</v>
      </c>
      <c r="M4">
        <v>42</v>
      </c>
      <c r="N4">
        <v>190.833333333333</v>
      </c>
      <c r="O4">
        <v>167.666666666667</v>
      </c>
      <c r="P4">
        <v>45.4</v>
      </c>
      <c r="Q4">
        <v>36.4</v>
      </c>
      <c r="R4">
        <v>51.733333333333299</v>
      </c>
      <c r="S4">
        <v>27.033333333333299</v>
      </c>
      <c r="V4" s="3">
        <f>(E4-B4)/B4</f>
        <v>-0.31155778894472558</v>
      </c>
      <c r="W4" s="3">
        <f t="shared" si="1"/>
        <v>5.8823529411764705E-2</v>
      </c>
      <c r="X4" s="3">
        <f t="shared" si="2"/>
        <v>-1.3698630136984958E-2</v>
      </c>
      <c r="Z4" s="5">
        <f t="shared" si="3"/>
        <v>191.00000000000028</v>
      </c>
      <c r="AA4" s="5">
        <f t="shared" si="4"/>
        <v>151.33333333333331</v>
      </c>
      <c r="AB4" s="3">
        <f t="shared" si="5"/>
        <v>-0.20767888307155449</v>
      </c>
    </row>
    <row r="5" spans="1:28" x14ac:dyDescent="0.35">
      <c r="A5" t="s">
        <v>3</v>
      </c>
      <c r="B5">
        <v>239.333333333333</v>
      </c>
      <c r="C5">
        <v>121.666666666667</v>
      </c>
      <c r="D5">
        <v>74.6666666666667</v>
      </c>
      <c r="E5">
        <v>257.33333333333297</v>
      </c>
      <c r="F5">
        <v>114.666666666667</v>
      </c>
      <c r="G5">
        <v>36.3333333333333</v>
      </c>
      <c r="H5">
        <v>182</v>
      </c>
      <c r="I5">
        <v>199.5</v>
      </c>
      <c r="J5">
        <v>61</v>
      </c>
      <c r="K5">
        <v>61</v>
      </c>
      <c r="L5">
        <v>42</v>
      </c>
      <c r="M5">
        <v>42</v>
      </c>
      <c r="N5">
        <v>190.833333333333</v>
      </c>
      <c r="O5">
        <v>167.666666666667</v>
      </c>
      <c r="P5">
        <v>45.4</v>
      </c>
      <c r="Q5">
        <v>36.4</v>
      </c>
      <c r="R5">
        <v>51.733333333333299</v>
      </c>
      <c r="S5">
        <v>27.033333333333299</v>
      </c>
      <c r="V5" s="3">
        <f t="shared" si="0"/>
        <v>7.5208913649025058E-2</v>
      </c>
      <c r="W5" s="3">
        <f t="shared" si="1"/>
        <v>-5.7534246575342306E-2</v>
      </c>
      <c r="X5" s="3">
        <f t="shared" si="2"/>
        <v>-0.51339285714285776</v>
      </c>
      <c r="Z5" s="5">
        <f t="shared" si="3"/>
        <v>435.66666666666669</v>
      </c>
      <c r="AA5" s="5">
        <f t="shared" si="4"/>
        <v>408.33333333333331</v>
      </c>
      <c r="AB5" s="3">
        <f t="shared" si="5"/>
        <v>-6.2739097169089597E-2</v>
      </c>
    </row>
    <row r="6" spans="1:28" x14ac:dyDescent="0.35">
      <c r="A6" t="s">
        <v>4</v>
      </c>
      <c r="B6">
        <v>343</v>
      </c>
      <c r="C6">
        <v>18.6666666666667</v>
      </c>
      <c r="D6">
        <v>91</v>
      </c>
      <c r="E6">
        <v>173.333333333333</v>
      </c>
      <c r="F6">
        <v>43</v>
      </c>
      <c r="G6">
        <v>31</v>
      </c>
      <c r="H6">
        <v>182</v>
      </c>
      <c r="I6">
        <v>199.5</v>
      </c>
      <c r="J6">
        <v>61</v>
      </c>
      <c r="K6">
        <v>61</v>
      </c>
      <c r="L6">
        <v>42</v>
      </c>
      <c r="M6">
        <v>42</v>
      </c>
      <c r="N6">
        <v>190.833333333333</v>
      </c>
      <c r="O6">
        <v>167.666666666667</v>
      </c>
      <c r="P6">
        <v>45.4</v>
      </c>
      <c r="Q6">
        <v>36.4</v>
      </c>
      <c r="R6">
        <v>51.733333333333299</v>
      </c>
      <c r="S6">
        <v>27.033333333333299</v>
      </c>
      <c r="V6" s="3">
        <f t="shared" si="0"/>
        <v>-0.49465500485908748</v>
      </c>
      <c r="W6" s="3">
        <f>(F6-C6)/C6</f>
        <v>1.3035714285714244</v>
      </c>
      <c r="X6" s="3">
        <f t="shared" si="2"/>
        <v>-0.65934065934065933</v>
      </c>
      <c r="Z6" s="5">
        <f t="shared" si="3"/>
        <v>452.66666666666669</v>
      </c>
      <c r="AA6" s="5">
        <f t="shared" si="4"/>
        <v>247.333333333333</v>
      </c>
      <c r="AB6" s="3">
        <f t="shared" si="5"/>
        <v>-0.45360824742268119</v>
      </c>
    </row>
    <row r="7" spans="1:28" x14ac:dyDescent="0.35">
      <c r="A7" t="s">
        <v>5</v>
      </c>
      <c r="B7">
        <v>307.33333333333297</v>
      </c>
      <c r="C7">
        <v>54.6666666666667</v>
      </c>
      <c r="D7">
        <v>95</v>
      </c>
      <c r="E7">
        <v>276.33333333333297</v>
      </c>
      <c r="F7">
        <v>26.3333333333333</v>
      </c>
      <c r="G7">
        <v>2.3333333333333299</v>
      </c>
      <c r="H7">
        <v>182</v>
      </c>
      <c r="I7">
        <v>199.5</v>
      </c>
      <c r="J7">
        <v>61</v>
      </c>
      <c r="K7">
        <v>61</v>
      </c>
      <c r="L7">
        <v>42</v>
      </c>
      <c r="M7">
        <v>42</v>
      </c>
      <c r="N7">
        <v>190.833333333333</v>
      </c>
      <c r="O7">
        <v>167.666666666667</v>
      </c>
      <c r="P7">
        <v>45.4</v>
      </c>
      <c r="Q7">
        <v>36.4</v>
      </c>
      <c r="R7">
        <v>51.733333333333299</v>
      </c>
      <c r="S7">
        <v>27.033333333333299</v>
      </c>
      <c r="V7" s="3">
        <f t="shared" si="0"/>
        <v>-0.10086767895878537</v>
      </c>
      <c r="W7" s="3">
        <f t="shared" si="1"/>
        <v>-0.51829268292683017</v>
      </c>
      <c r="X7" s="3">
        <f t="shared" si="2"/>
        <v>-0.9754385964912281</v>
      </c>
      <c r="Z7" s="5">
        <f t="shared" si="3"/>
        <v>456.99999999999966</v>
      </c>
      <c r="AA7" s="5">
        <f t="shared" si="4"/>
        <v>304.9999999999996</v>
      </c>
      <c r="AB7" s="3">
        <f t="shared" si="5"/>
        <v>-0.33260393873085375</v>
      </c>
    </row>
    <row r="8" spans="1:28" x14ac:dyDescent="0.35">
      <c r="A8" t="s">
        <v>6</v>
      </c>
      <c r="B8">
        <v>116</v>
      </c>
      <c r="C8">
        <v>18.3333333333333</v>
      </c>
      <c r="D8">
        <v>27.3333333333333</v>
      </c>
      <c r="E8">
        <v>103</v>
      </c>
      <c r="F8">
        <v>27.3333333333333</v>
      </c>
      <c r="G8">
        <v>16.6666666666667</v>
      </c>
      <c r="H8">
        <v>182</v>
      </c>
      <c r="I8">
        <v>199.5</v>
      </c>
      <c r="J8">
        <v>61</v>
      </c>
      <c r="K8">
        <v>61</v>
      </c>
      <c r="L8">
        <v>42</v>
      </c>
      <c r="M8">
        <v>42</v>
      </c>
      <c r="N8">
        <v>190.833333333333</v>
      </c>
      <c r="O8">
        <v>167.666666666667</v>
      </c>
      <c r="P8">
        <v>45.4</v>
      </c>
      <c r="Q8">
        <v>36.4</v>
      </c>
      <c r="R8">
        <v>51.733333333333299</v>
      </c>
      <c r="S8">
        <v>27.033333333333299</v>
      </c>
      <c r="V8" s="3">
        <f t="shared" si="0"/>
        <v>-0.11206896551724138</v>
      </c>
      <c r="W8" s="3">
        <f t="shared" si="1"/>
        <v>0.49090909090909179</v>
      </c>
      <c r="X8" s="3">
        <f t="shared" si="2"/>
        <v>-0.39024390243902246</v>
      </c>
      <c r="Z8" s="5">
        <f t="shared" si="3"/>
        <v>161.66666666666663</v>
      </c>
      <c r="AA8" s="5">
        <f t="shared" si="4"/>
        <v>147</v>
      </c>
      <c r="AB8" s="3">
        <f t="shared" si="5"/>
        <v>-9.0721649484535871E-2</v>
      </c>
    </row>
    <row r="9" spans="1:28" x14ac:dyDescent="0.35">
      <c r="A9" t="s">
        <v>7</v>
      </c>
      <c r="B9">
        <v>156.333333333333</v>
      </c>
      <c r="C9">
        <v>49</v>
      </c>
      <c r="D9">
        <v>66.6666666666667</v>
      </c>
      <c r="E9">
        <v>126.666666666667</v>
      </c>
      <c r="F9">
        <v>22.6666666666667</v>
      </c>
      <c r="G9">
        <v>37.6666666666667</v>
      </c>
      <c r="H9">
        <v>182</v>
      </c>
      <c r="I9">
        <v>199.5</v>
      </c>
      <c r="J9">
        <v>61</v>
      </c>
      <c r="K9">
        <v>61</v>
      </c>
      <c r="L9">
        <v>42</v>
      </c>
      <c r="M9">
        <v>42</v>
      </c>
      <c r="N9">
        <v>190.833333333333</v>
      </c>
      <c r="O9">
        <v>167.666666666667</v>
      </c>
      <c r="P9">
        <v>45.4</v>
      </c>
      <c r="Q9">
        <v>36.4</v>
      </c>
      <c r="R9">
        <v>51.733333333333299</v>
      </c>
      <c r="S9">
        <v>27.033333333333299</v>
      </c>
      <c r="V9" s="3">
        <f t="shared" si="0"/>
        <v>-0.18976545842217099</v>
      </c>
      <c r="W9" s="3">
        <f t="shared" si="1"/>
        <v>-0.53741496598639393</v>
      </c>
      <c r="X9" s="3">
        <f t="shared" si="2"/>
        <v>-0.43499999999999978</v>
      </c>
      <c r="Z9" s="5">
        <f t="shared" si="3"/>
        <v>271.99999999999972</v>
      </c>
      <c r="AA9" s="5">
        <f t="shared" si="4"/>
        <v>187.0000000000004</v>
      </c>
      <c r="AB9" s="3">
        <f t="shared" si="5"/>
        <v>-0.31249999999999784</v>
      </c>
    </row>
    <row r="10" spans="1:28" x14ac:dyDescent="0.35">
      <c r="A10" t="s">
        <v>8</v>
      </c>
      <c r="B10">
        <v>322</v>
      </c>
      <c r="C10">
        <v>94.6666666666667</v>
      </c>
      <c r="D10">
        <v>62.3333333333333</v>
      </c>
      <c r="E10">
        <v>373</v>
      </c>
      <c r="F10">
        <v>41.3333333333333</v>
      </c>
      <c r="G10">
        <v>70.6666666666667</v>
      </c>
      <c r="H10">
        <v>182</v>
      </c>
      <c r="I10">
        <v>199.5</v>
      </c>
      <c r="J10">
        <v>61</v>
      </c>
      <c r="K10">
        <v>61</v>
      </c>
      <c r="L10">
        <v>42</v>
      </c>
      <c r="M10">
        <v>42</v>
      </c>
      <c r="N10">
        <v>190.833333333333</v>
      </c>
      <c r="O10">
        <v>167.666666666667</v>
      </c>
      <c r="P10">
        <v>45.4</v>
      </c>
      <c r="Q10">
        <v>36.4</v>
      </c>
      <c r="R10">
        <v>51.733333333333299</v>
      </c>
      <c r="S10">
        <v>27.033333333333299</v>
      </c>
      <c r="V10" s="3">
        <f t="shared" si="0"/>
        <v>0.15838509316770186</v>
      </c>
      <c r="W10" s="3">
        <f t="shared" si="1"/>
        <v>-0.56338028169014132</v>
      </c>
      <c r="X10" s="3">
        <f t="shared" si="2"/>
        <v>0.13368983957219366</v>
      </c>
      <c r="Z10" s="5">
        <f t="shared" si="3"/>
        <v>479</v>
      </c>
      <c r="AA10" s="5">
        <f t="shared" si="4"/>
        <v>485</v>
      </c>
      <c r="AB10" s="3">
        <f t="shared" si="5"/>
        <v>1.2526096033402923E-2</v>
      </c>
    </row>
    <row r="11" spans="1:28" x14ac:dyDescent="0.35">
      <c r="A11" t="s">
        <v>9</v>
      </c>
      <c r="B11">
        <v>135.666666666667</v>
      </c>
      <c r="C11">
        <v>16.3333333333333</v>
      </c>
      <c r="D11">
        <v>19.3333333333333</v>
      </c>
      <c r="E11">
        <v>99.6666666666667</v>
      </c>
      <c r="F11">
        <v>11.6666666666667</v>
      </c>
      <c r="G11">
        <v>17.3333333333333</v>
      </c>
      <c r="H11">
        <v>182</v>
      </c>
      <c r="I11">
        <v>199.5</v>
      </c>
      <c r="J11">
        <v>61</v>
      </c>
      <c r="K11">
        <v>61</v>
      </c>
      <c r="L11">
        <v>42</v>
      </c>
      <c r="M11">
        <v>42</v>
      </c>
      <c r="N11">
        <v>190.833333333333</v>
      </c>
      <c r="O11">
        <v>167.666666666667</v>
      </c>
      <c r="P11">
        <v>45.4</v>
      </c>
      <c r="Q11">
        <v>36.4</v>
      </c>
      <c r="R11">
        <v>51.733333333333299</v>
      </c>
      <c r="S11">
        <v>27.033333333333299</v>
      </c>
      <c r="V11" s="3">
        <f t="shared" si="0"/>
        <v>-0.26535626535626688</v>
      </c>
      <c r="W11" s="3">
        <f t="shared" si="1"/>
        <v>-0.28571428571428226</v>
      </c>
      <c r="X11" s="3">
        <f t="shared" si="2"/>
        <v>-0.10344827586206914</v>
      </c>
      <c r="Z11" s="5">
        <f t="shared" si="3"/>
        <v>171.3333333333336</v>
      </c>
      <c r="AA11" s="5">
        <f t="shared" si="4"/>
        <v>128.66666666666669</v>
      </c>
      <c r="AB11" s="3">
        <f t="shared" si="5"/>
        <v>-0.24902723735408666</v>
      </c>
    </row>
    <row r="13" spans="1:28" ht="29" x14ac:dyDescent="0.35">
      <c r="A13" s="2" t="s">
        <v>187</v>
      </c>
      <c r="B13" s="2" t="s">
        <v>188</v>
      </c>
      <c r="C13" s="2" t="s">
        <v>189</v>
      </c>
      <c r="D13" s="2" t="s">
        <v>190</v>
      </c>
      <c r="V13" s="4">
        <f>COUNTIF(V2:V11,"&gt;0")</f>
        <v>4</v>
      </c>
      <c r="W13" s="4">
        <f>COUNTIF(W2:W11,"&gt;0")</f>
        <v>4</v>
      </c>
      <c r="X13" s="4">
        <f>COUNTIF(X2:X11,"&gt;0")</f>
        <v>2</v>
      </c>
      <c r="AB13" s="4">
        <f>COUNTIF(AB2:AB11,"&gt;0")</f>
        <v>2</v>
      </c>
    </row>
    <row r="14" spans="1:28" ht="29" x14ac:dyDescent="0.35">
      <c r="A14" s="2" t="s">
        <v>0</v>
      </c>
      <c r="B14" s="2" t="s">
        <v>191</v>
      </c>
      <c r="C14" s="2" t="s">
        <v>185</v>
      </c>
      <c r="D14" s="2">
        <v>102</v>
      </c>
      <c r="V14">
        <f>COUNTIF(V2:V11,"&lt;0")</f>
        <v>6</v>
      </c>
      <c r="W14">
        <f t="shared" ref="W14:X14" si="6">COUNTIF(W2:W11,"&lt;0")</f>
        <v>6</v>
      </c>
      <c r="X14">
        <f t="shared" si="6"/>
        <v>8</v>
      </c>
      <c r="AB14">
        <f t="shared" ref="AB14" si="7">COUNTIF(AB2:AB11,"&lt;0")</f>
        <v>8</v>
      </c>
    </row>
    <row r="15" spans="1:28" ht="29" x14ac:dyDescent="0.35">
      <c r="A15" s="2" t="s">
        <v>1</v>
      </c>
      <c r="B15" s="2" t="s">
        <v>191</v>
      </c>
      <c r="C15" s="2" t="s">
        <v>185</v>
      </c>
      <c r="D15" s="2">
        <v>54</v>
      </c>
    </row>
    <row r="16" spans="1:28" ht="29" x14ac:dyDescent="0.35">
      <c r="A16" s="2" t="s">
        <v>2</v>
      </c>
      <c r="B16" s="2" t="s">
        <v>191</v>
      </c>
      <c r="C16" s="2" t="s">
        <v>185</v>
      </c>
      <c r="D16" s="2">
        <v>132.66666667000001</v>
      </c>
    </row>
    <row r="17" spans="1:4" ht="29" x14ac:dyDescent="0.35">
      <c r="A17" s="2" t="s">
        <v>3</v>
      </c>
      <c r="B17" s="2" t="s">
        <v>191</v>
      </c>
      <c r="C17" s="2" t="s">
        <v>185</v>
      </c>
      <c r="D17" s="2">
        <v>239.33333332999999</v>
      </c>
    </row>
    <row r="18" spans="1:4" ht="29" x14ac:dyDescent="0.35">
      <c r="A18" s="2" t="s">
        <v>4</v>
      </c>
      <c r="B18" s="2" t="s">
        <v>191</v>
      </c>
      <c r="C18" s="2" t="s">
        <v>185</v>
      </c>
      <c r="D18" s="2">
        <v>343</v>
      </c>
    </row>
    <row r="19" spans="1:4" ht="29" x14ac:dyDescent="0.35">
      <c r="A19" s="2" t="s">
        <v>5</v>
      </c>
      <c r="B19" s="2" t="s">
        <v>191</v>
      </c>
      <c r="C19" s="2" t="s">
        <v>185</v>
      </c>
      <c r="D19" s="2">
        <v>307.33333333000002</v>
      </c>
    </row>
    <row r="20" spans="1:4" ht="29" x14ac:dyDescent="0.35">
      <c r="A20" s="2" t="s">
        <v>6</v>
      </c>
      <c r="B20" s="2" t="s">
        <v>191</v>
      </c>
      <c r="C20" s="2" t="s">
        <v>185</v>
      </c>
      <c r="D20" s="2">
        <v>116</v>
      </c>
    </row>
    <row r="21" spans="1:4" ht="29" x14ac:dyDescent="0.35">
      <c r="A21" s="2" t="s">
        <v>7</v>
      </c>
      <c r="B21" s="2" t="s">
        <v>191</v>
      </c>
      <c r="C21" s="2" t="s">
        <v>185</v>
      </c>
      <c r="D21" s="2">
        <v>156.33333332999999</v>
      </c>
    </row>
    <row r="22" spans="1:4" ht="29" x14ac:dyDescent="0.35">
      <c r="A22" s="2" t="s">
        <v>8</v>
      </c>
      <c r="B22" s="2" t="s">
        <v>191</v>
      </c>
      <c r="C22" s="2" t="s">
        <v>185</v>
      </c>
      <c r="D22" s="2">
        <v>322</v>
      </c>
    </row>
    <row r="23" spans="1:4" ht="29" x14ac:dyDescent="0.35">
      <c r="A23" s="2" t="s">
        <v>9</v>
      </c>
      <c r="B23" s="2" t="s">
        <v>191</v>
      </c>
      <c r="C23" s="2" t="s">
        <v>185</v>
      </c>
      <c r="D23" s="2">
        <v>135.66666667000001</v>
      </c>
    </row>
    <row r="24" spans="1:4" ht="29" x14ac:dyDescent="0.35">
      <c r="A24" s="2" t="s">
        <v>192</v>
      </c>
      <c r="B24" s="2" t="s">
        <v>191</v>
      </c>
      <c r="C24" s="2" t="s">
        <v>185</v>
      </c>
      <c r="D24" s="2">
        <v>190.83333332999999</v>
      </c>
    </row>
    <row r="25" spans="1:4" ht="29" x14ac:dyDescent="0.35">
      <c r="A25" s="2" t="s">
        <v>0</v>
      </c>
      <c r="B25" s="2" t="s">
        <v>193</v>
      </c>
      <c r="C25" s="2" t="s">
        <v>185</v>
      </c>
      <c r="D25" s="2">
        <v>21</v>
      </c>
    </row>
    <row r="26" spans="1:4" ht="29" x14ac:dyDescent="0.35">
      <c r="A26" s="2" t="s">
        <v>1</v>
      </c>
      <c r="B26" s="2" t="s">
        <v>193</v>
      </c>
      <c r="C26" s="2" t="s">
        <v>185</v>
      </c>
      <c r="D26" s="2">
        <v>25.666666670000001</v>
      </c>
    </row>
    <row r="27" spans="1:4" ht="29" x14ac:dyDescent="0.35">
      <c r="A27" s="2" t="s">
        <v>2</v>
      </c>
      <c r="B27" s="2" t="s">
        <v>193</v>
      </c>
      <c r="C27" s="2" t="s">
        <v>185</v>
      </c>
      <c r="D27" s="2">
        <v>34</v>
      </c>
    </row>
    <row r="28" spans="1:4" ht="29" x14ac:dyDescent="0.35">
      <c r="A28" s="2" t="s">
        <v>3</v>
      </c>
      <c r="B28" s="2" t="s">
        <v>193</v>
      </c>
      <c r="C28" s="2" t="s">
        <v>185</v>
      </c>
      <c r="D28" s="2">
        <v>121.66666667</v>
      </c>
    </row>
    <row r="29" spans="1:4" ht="29" x14ac:dyDescent="0.35">
      <c r="A29" s="2" t="s">
        <v>4</v>
      </c>
      <c r="B29" s="2" t="s">
        <v>193</v>
      </c>
      <c r="C29" s="2" t="s">
        <v>185</v>
      </c>
      <c r="D29" s="2">
        <v>18.666666670000001</v>
      </c>
    </row>
    <row r="30" spans="1:4" ht="29" x14ac:dyDescent="0.35">
      <c r="A30" s="2" t="s">
        <v>5</v>
      </c>
      <c r="B30" s="2" t="s">
        <v>193</v>
      </c>
      <c r="C30" s="2" t="s">
        <v>185</v>
      </c>
      <c r="D30" s="2">
        <v>54.666666669999998</v>
      </c>
    </row>
    <row r="31" spans="1:4" ht="29" x14ac:dyDescent="0.35">
      <c r="A31" s="2" t="s">
        <v>6</v>
      </c>
      <c r="B31" s="2" t="s">
        <v>193</v>
      </c>
      <c r="C31" s="2" t="s">
        <v>185</v>
      </c>
      <c r="D31" s="2">
        <v>18.333333329999999</v>
      </c>
    </row>
    <row r="32" spans="1:4" ht="29" x14ac:dyDescent="0.35">
      <c r="A32" s="2" t="s">
        <v>7</v>
      </c>
      <c r="B32" s="2" t="s">
        <v>193</v>
      </c>
      <c r="C32" s="2" t="s">
        <v>185</v>
      </c>
      <c r="D32" s="2">
        <v>49</v>
      </c>
    </row>
    <row r="33" spans="1:4" ht="29" x14ac:dyDescent="0.35">
      <c r="A33" s="2" t="s">
        <v>8</v>
      </c>
      <c r="B33" s="2" t="s">
        <v>193</v>
      </c>
      <c r="C33" s="2" t="s">
        <v>185</v>
      </c>
      <c r="D33" s="2">
        <v>94.666666669999998</v>
      </c>
    </row>
    <row r="34" spans="1:4" ht="29" x14ac:dyDescent="0.35">
      <c r="A34" s="2" t="s">
        <v>9</v>
      </c>
      <c r="B34" s="2" t="s">
        <v>193</v>
      </c>
      <c r="C34" s="2" t="s">
        <v>185</v>
      </c>
      <c r="D34" s="2">
        <v>16.333333329999999</v>
      </c>
    </row>
    <row r="35" spans="1:4" ht="29" x14ac:dyDescent="0.35">
      <c r="A35" s="2" t="s">
        <v>192</v>
      </c>
      <c r="B35" s="2" t="s">
        <v>193</v>
      </c>
      <c r="C35" s="2" t="s">
        <v>185</v>
      </c>
      <c r="D35" s="2">
        <v>45.4</v>
      </c>
    </row>
    <row r="36" spans="1:4" x14ac:dyDescent="0.35">
      <c r="A36" s="2"/>
      <c r="B36" s="2"/>
      <c r="C36" s="2"/>
      <c r="D36" s="2"/>
    </row>
    <row r="37" spans="1:4" ht="29" x14ac:dyDescent="0.35">
      <c r="A37" s="2" t="s">
        <v>0</v>
      </c>
      <c r="B37" s="2" t="s">
        <v>194</v>
      </c>
      <c r="C37" s="2" t="s">
        <v>185</v>
      </c>
      <c r="D37" s="2">
        <v>17</v>
      </c>
    </row>
    <row r="38" spans="1:4" ht="29" x14ac:dyDescent="0.35">
      <c r="A38" s="2" t="s">
        <v>1</v>
      </c>
      <c r="B38" s="2" t="s">
        <v>194</v>
      </c>
      <c r="C38" s="2" t="s">
        <v>185</v>
      </c>
      <c r="D38" s="2">
        <v>39.666666669999998</v>
      </c>
    </row>
    <row r="39" spans="1:4" ht="29" x14ac:dyDescent="0.35">
      <c r="A39" s="2" t="s">
        <v>2</v>
      </c>
      <c r="B39" s="2" t="s">
        <v>194</v>
      </c>
      <c r="C39" s="2" t="s">
        <v>185</v>
      </c>
      <c r="D39" s="2">
        <v>24.333333329999999</v>
      </c>
    </row>
    <row r="40" spans="1:4" ht="29" x14ac:dyDescent="0.35">
      <c r="A40" s="2" t="s">
        <v>3</v>
      </c>
      <c r="B40" s="2" t="s">
        <v>194</v>
      </c>
      <c r="C40" s="2" t="s">
        <v>185</v>
      </c>
      <c r="D40" s="2">
        <v>74.666666669999998</v>
      </c>
    </row>
    <row r="41" spans="1:4" ht="29" x14ac:dyDescent="0.35">
      <c r="A41" s="2" t="s">
        <v>4</v>
      </c>
      <c r="B41" s="2" t="s">
        <v>194</v>
      </c>
      <c r="C41" s="2" t="s">
        <v>185</v>
      </c>
      <c r="D41" s="2">
        <v>91</v>
      </c>
    </row>
    <row r="42" spans="1:4" ht="29" x14ac:dyDescent="0.35">
      <c r="A42" s="2" t="s">
        <v>5</v>
      </c>
      <c r="B42" s="2" t="s">
        <v>194</v>
      </c>
      <c r="C42" s="2" t="s">
        <v>185</v>
      </c>
      <c r="D42" s="2">
        <v>95</v>
      </c>
    </row>
    <row r="43" spans="1:4" ht="29" x14ac:dyDescent="0.35">
      <c r="A43" s="2" t="s">
        <v>6</v>
      </c>
      <c r="B43" s="2" t="s">
        <v>194</v>
      </c>
      <c r="C43" s="2" t="s">
        <v>185</v>
      </c>
      <c r="D43" s="2">
        <v>27.333333329999999</v>
      </c>
    </row>
    <row r="44" spans="1:4" ht="29" x14ac:dyDescent="0.35">
      <c r="A44" s="2" t="s">
        <v>7</v>
      </c>
      <c r="B44" s="2" t="s">
        <v>194</v>
      </c>
      <c r="C44" s="2" t="s">
        <v>185</v>
      </c>
      <c r="D44" s="2">
        <v>66.666666669999998</v>
      </c>
    </row>
    <row r="45" spans="1:4" ht="29" x14ac:dyDescent="0.35">
      <c r="A45" s="2" t="s">
        <v>8</v>
      </c>
      <c r="B45" s="2" t="s">
        <v>194</v>
      </c>
      <c r="C45" s="2" t="s">
        <v>185</v>
      </c>
      <c r="D45" s="2">
        <v>62.333333330000002</v>
      </c>
    </row>
    <row r="46" spans="1:4" ht="29" x14ac:dyDescent="0.35">
      <c r="A46" s="2" t="s">
        <v>9</v>
      </c>
      <c r="B46" s="2" t="s">
        <v>194</v>
      </c>
      <c r="C46" s="2" t="s">
        <v>185</v>
      </c>
      <c r="D46" s="2">
        <v>19.333333329999999</v>
      </c>
    </row>
    <row r="47" spans="1:4" ht="29" x14ac:dyDescent="0.35">
      <c r="A47" s="2" t="s">
        <v>192</v>
      </c>
      <c r="B47" s="2" t="s">
        <v>194</v>
      </c>
      <c r="C47" s="2" t="s">
        <v>185</v>
      </c>
      <c r="D47" s="2">
        <v>51.733333330000001</v>
      </c>
    </row>
    <row r="48" spans="1:4" x14ac:dyDescent="0.35">
      <c r="A48" s="2"/>
      <c r="B48" s="2"/>
      <c r="C48" s="2"/>
      <c r="D48" s="2"/>
    </row>
    <row r="49" spans="1:4" ht="29" x14ac:dyDescent="0.35">
      <c r="A49" s="2" t="s">
        <v>0</v>
      </c>
      <c r="B49" s="2" t="s">
        <v>191</v>
      </c>
      <c r="C49" s="2" t="s">
        <v>186</v>
      </c>
      <c r="D49" s="2">
        <v>117.66666667</v>
      </c>
    </row>
    <row r="50" spans="1:4" ht="29" x14ac:dyDescent="0.35">
      <c r="A50" s="2" t="s">
        <v>1</v>
      </c>
      <c r="B50" s="2" t="s">
        <v>191</v>
      </c>
      <c r="C50" s="2" t="s">
        <v>186</v>
      </c>
      <c r="D50" s="2">
        <v>58.333333330000002</v>
      </c>
    </row>
    <row r="51" spans="1:4" ht="29" x14ac:dyDescent="0.35">
      <c r="A51" s="2" t="s">
        <v>2</v>
      </c>
      <c r="B51" s="2" t="s">
        <v>191</v>
      </c>
      <c r="C51" s="2" t="s">
        <v>186</v>
      </c>
      <c r="D51" s="2">
        <v>91.333333330000002</v>
      </c>
    </row>
    <row r="52" spans="1:4" ht="29" x14ac:dyDescent="0.35">
      <c r="A52" s="2" t="s">
        <v>3</v>
      </c>
      <c r="B52" s="2" t="s">
        <v>191</v>
      </c>
      <c r="C52" s="2" t="s">
        <v>186</v>
      </c>
      <c r="D52" s="2">
        <v>257.33333333000002</v>
      </c>
    </row>
    <row r="53" spans="1:4" ht="29" x14ac:dyDescent="0.35">
      <c r="A53" s="2" t="s">
        <v>4</v>
      </c>
      <c r="B53" s="2" t="s">
        <v>191</v>
      </c>
      <c r="C53" s="2" t="s">
        <v>186</v>
      </c>
      <c r="D53" s="2">
        <v>173.33333332999999</v>
      </c>
    </row>
    <row r="54" spans="1:4" ht="29" x14ac:dyDescent="0.35">
      <c r="A54" s="2" t="s">
        <v>5</v>
      </c>
      <c r="B54" s="2" t="s">
        <v>191</v>
      </c>
      <c r="C54" s="2" t="s">
        <v>186</v>
      </c>
      <c r="D54" s="2">
        <v>276.33333333000002</v>
      </c>
    </row>
    <row r="55" spans="1:4" ht="29" x14ac:dyDescent="0.35">
      <c r="A55" s="2" t="s">
        <v>6</v>
      </c>
      <c r="B55" s="2" t="s">
        <v>191</v>
      </c>
      <c r="C55" s="2" t="s">
        <v>186</v>
      </c>
      <c r="D55" s="2">
        <v>103</v>
      </c>
    </row>
    <row r="56" spans="1:4" ht="29" x14ac:dyDescent="0.35">
      <c r="A56" s="2" t="s">
        <v>7</v>
      </c>
      <c r="B56" s="2" t="s">
        <v>191</v>
      </c>
      <c r="C56" s="2" t="s">
        <v>186</v>
      </c>
      <c r="D56" s="2">
        <v>126.66666667</v>
      </c>
    </row>
    <row r="57" spans="1:4" ht="29" x14ac:dyDescent="0.35">
      <c r="A57" s="2" t="s">
        <v>8</v>
      </c>
      <c r="B57" s="2" t="s">
        <v>191</v>
      </c>
      <c r="C57" s="2" t="s">
        <v>186</v>
      </c>
      <c r="D57" s="2">
        <v>373</v>
      </c>
    </row>
    <row r="58" spans="1:4" ht="29" x14ac:dyDescent="0.35">
      <c r="A58" s="2" t="s">
        <v>9</v>
      </c>
      <c r="B58" s="2" t="s">
        <v>191</v>
      </c>
      <c r="C58" s="2" t="s">
        <v>186</v>
      </c>
      <c r="D58" s="2">
        <v>99.666666669999998</v>
      </c>
    </row>
    <row r="59" spans="1:4" ht="29" x14ac:dyDescent="0.35">
      <c r="A59" s="2" t="s">
        <v>192</v>
      </c>
      <c r="B59" s="2" t="s">
        <v>191</v>
      </c>
      <c r="C59" s="2" t="s">
        <v>186</v>
      </c>
      <c r="D59" s="2">
        <v>167.66666667000001</v>
      </c>
    </row>
    <row r="60" spans="1:4" ht="29" x14ac:dyDescent="0.35">
      <c r="A60" s="2" t="s">
        <v>0</v>
      </c>
      <c r="B60" s="2" t="s">
        <v>193</v>
      </c>
      <c r="C60" s="2" t="s">
        <v>186</v>
      </c>
      <c r="D60" s="2">
        <v>9.3333333300000003</v>
      </c>
    </row>
    <row r="61" spans="1:4" ht="29" x14ac:dyDescent="0.35">
      <c r="A61" s="2" t="s">
        <v>1</v>
      </c>
      <c r="B61" s="2" t="s">
        <v>193</v>
      </c>
      <c r="C61" s="2" t="s">
        <v>186</v>
      </c>
      <c r="D61" s="2">
        <v>31.666666670000001</v>
      </c>
    </row>
    <row r="62" spans="1:4" ht="29" x14ac:dyDescent="0.35">
      <c r="A62" s="2" t="s">
        <v>2</v>
      </c>
      <c r="B62" s="2" t="s">
        <v>193</v>
      </c>
      <c r="C62" s="2" t="s">
        <v>186</v>
      </c>
      <c r="D62" s="2">
        <v>36</v>
      </c>
    </row>
    <row r="63" spans="1:4" ht="29" x14ac:dyDescent="0.35">
      <c r="A63" s="2" t="s">
        <v>3</v>
      </c>
      <c r="B63" s="2" t="s">
        <v>193</v>
      </c>
      <c r="C63" s="2" t="s">
        <v>186</v>
      </c>
      <c r="D63" s="2">
        <v>114.66666667</v>
      </c>
    </row>
    <row r="64" spans="1:4" ht="29" x14ac:dyDescent="0.35">
      <c r="A64" s="2" t="s">
        <v>4</v>
      </c>
      <c r="B64" s="2" t="s">
        <v>193</v>
      </c>
      <c r="C64" s="2" t="s">
        <v>186</v>
      </c>
      <c r="D64" s="2">
        <v>43</v>
      </c>
    </row>
    <row r="65" spans="1:4" ht="29" x14ac:dyDescent="0.35">
      <c r="A65" s="2" t="s">
        <v>5</v>
      </c>
      <c r="B65" s="2" t="s">
        <v>193</v>
      </c>
      <c r="C65" s="2" t="s">
        <v>186</v>
      </c>
      <c r="D65" s="2">
        <v>26.333333329999999</v>
      </c>
    </row>
    <row r="66" spans="1:4" ht="29" x14ac:dyDescent="0.35">
      <c r="A66" s="2" t="s">
        <v>6</v>
      </c>
      <c r="B66" s="2" t="s">
        <v>193</v>
      </c>
      <c r="C66" s="2" t="s">
        <v>186</v>
      </c>
      <c r="D66" s="2">
        <v>27.333333329999999</v>
      </c>
    </row>
    <row r="67" spans="1:4" ht="29" x14ac:dyDescent="0.35">
      <c r="A67" s="2" t="s">
        <v>7</v>
      </c>
      <c r="B67" s="2" t="s">
        <v>193</v>
      </c>
      <c r="C67" s="2" t="s">
        <v>186</v>
      </c>
      <c r="D67" s="2">
        <v>22.666666670000001</v>
      </c>
    </row>
    <row r="68" spans="1:4" ht="29" x14ac:dyDescent="0.35">
      <c r="A68" s="2" t="s">
        <v>8</v>
      </c>
      <c r="B68" s="2" t="s">
        <v>193</v>
      </c>
      <c r="C68" s="2" t="s">
        <v>186</v>
      </c>
      <c r="D68" s="2">
        <v>41.333333330000002</v>
      </c>
    </row>
    <row r="69" spans="1:4" ht="29" x14ac:dyDescent="0.35">
      <c r="A69" s="2" t="s">
        <v>9</v>
      </c>
      <c r="B69" s="2" t="s">
        <v>193</v>
      </c>
      <c r="C69" s="2" t="s">
        <v>186</v>
      </c>
      <c r="D69" s="2">
        <v>11.66666667</v>
      </c>
    </row>
    <row r="70" spans="1:4" ht="29" x14ac:dyDescent="0.35">
      <c r="A70" s="2" t="s">
        <v>192</v>
      </c>
      <c r="B70" s="2" t="s">
        <v>193</v>
      </c>
      <c r="C70" s="2" t="s">
        <v>186</v>
      </c>
      <c r="D70" s="2">
        <v>36.4</v>
      </c>
    </row>
    <row r="71" spans="1:4" ht="29" x14ac:dyDescent="0.35">
      <c r="A71" s="2" t="s">
        <v>0</v>
      </c>
      <c r="B71" s="2" t="s">
        <v>194</v>
      </c>
      <c r="C71" s="2" t="s">
        <v>186</v>
      </c>
      <c r="D71" s="2">
        <v>18.333333329999999</v>
      </c>
    </row>
    <row r="72" spans="1:4" ht="29" x14ac:dyDescent="0.35">
      <c r="A72" s="2" t="s">
        <v>1</v>
      </c>
      <c r="B72" s="2" t="s">
        <v>194</v>
      </c>
      <c r="C72" s="2" t="s">
        <v>186</v>
      </c>
      <c r="D72" s="2">
        <v>16</v>
      </c>
    </row>
    <row r="73" spans="1:4" ht="29" x14ac:dyDescent="0.35">
      <c r="A73" s="2" t="s">
        <v>2</v>
      </c>
      <c r="B73" s="2" t="s">
        <v>194</v>
      </c>
      <c r="C73" s="2" t="s">
        <v>186</v>
      </c>
      <c r="D73" s="2">
        <v>24</v>
      </c>
    </row>
    <row r="74" spans="1:4" ht="29" x14ac:dyDescent="0.35">
      <c r="A74" s="2" t="s">
        <v>3</v>
      </c>
      <c r="B74" s="2" t="s">
        <v>194</v>
      </c>
      <c r="C74" s="2" t="s">
        <v>186</v>
      </c>
      <c r="D74" s="2">
        <v>36.333333330000002</v>
      </c>
    </row>
    <row r="75" spans="1:4" ht="29" x14ac:dyDescent="0.35">
      <c r="A75" s="2" t="s">
        <v>4</v>
      </c>
      <c r="B75" s="2" t="s">
        <v>194</v>
      </c>
      <c r="C75" s="2" t="s">
        <v>186</v>
      </c>
      <c r="D75" s="2">
        <v>31</v>
      </c>
    </row>
    <row r="76" spans="1:4" ht="29" x14ac:dyDescent="0.35">
      <c r="A76" s="2" t="s">
        <v>5</v>
      </c>
      <c r="B76" s="2" t="s">
        <v>194</v>
      </c>
      <c r="C76" s="2" t="s">
        <v>186</v>
      </c>
      <c r="D76" s="2">
        <v>2.3333333299999999</v>
      </c>
    </row>
    <row r="77" spans="1:4" ht="29" x14ac:dyDescent="0.35">
      <c r="A77" s="2" t="s">
        <v>6</v>
      </c>
      <c r="B77" s="2" t="s">
        <v>194</v>
      </c>
      <c r="C77" s="2" t="s">
        <v>186</v>
      </c>
      <c r="D77" s="2">
        <v>16.666666670000001</v>
      </c>
    </row>
    <row r="78" spans="1:4" ht="29" x14ac:dyDescent="0.35">
      <c r="A78" s="2" t="s">
        <v>7</v>
      </c>
      <c r="B78" s="2" t="s">
        <v>194</v>
      </c>
      <c r="C78" s="2" t="s">
        <v>186</v>
      </c>
      <c r="D78" s="2">
        <v>37.666666669999998</v>
      </c>
    </row>
    <row r="79" spans="1:4" ht="29" x14ac:dyDescent="0.35">
      <c r="A79" s="2" t="s">
        <v>8</v>
      </c>
      <c r="B79" s="2" t="s">
        <v>194</v>
      </c>
      <c r="C79" s="2" t="s">
        <v>186</v>
      </c>
      <c r="D79" s="2">
        <v>70.666666669999998</v>
      </c>
    </row>
    <row r="80" spans="1:4" ht="29" x14ac:dyDescent="0.35">
      <c r="A80" s="2" t="s">
        <v>9</v>
      </c>
      <c r="B80" s="2" t="s">
        <v>194</v>
      </c>
      <c r="C80" s="2" t="s">
        <v>186</v>
      </c>
      <c r="D80" s="2">
        <v>17.333333329999999</v>
      </c>
    </row>
    <row r="81" spans="1:4" ht="29" x14ac:dyDescent="0.35">
      <c r="A81" s="2" t="s">
        <v>192</v>
      </c>
      <c r="B81" s="2" t="s">
        <v>194</v>
      </c>
      <c r="C81" s="2" t="s">
        <v>186</v>
      </c>
      <c r="D81" s="2">
        <v>27.033333330000001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>
      <selection activeCell="F1" sqref="F1:G2"/>
    </sheetView>
  </sheetViews>
  <sheetFormatPr defaultColWidth="11.453125" defaultRowHeight="14.5" x14ac:dyDescent="0.35"/>
  <sheetData>
    <row r="1" spans="1:7" x14ac:dyDescent="0.35">
      <c r="A1" t="s">
        <v>11</v>
      </c>
      <c r="B1" t="s">
        <v>180</v>
      </c>
      <c r="C1" t="s">
        <v>181</v>
      </c>
      <c r="D1" t="s">
        <v>182</v>
      </c>
      <c r="E1" t="s">
        <v>183</v>
      </c>
      <c r="F1" t="s">
        <v>145</v>
      </c>
      <c r="G1" t="s">
        <v>146</v>
      </c>
    </row>
    <row r="2" spans="1:7" x14ac:dyDescent="0.35">
      <c r="A2" t="s">
        <v>0</v>
      </c>
      <c r="B2">
        <v>4.9399967328269199</v>
      </c>
      <c r="C2">
        <v>3.6949110004127501</v>
      </c>
      <c r="D2">
        <v>5.8035019455252899</v>
      </c>
      <c r="E2">
        <v>5.86493920092646</v>
      </c>
      <c r="F2">
        <v>8.1335907774080898</v>
      </c>
      <c r="G2">
        <v>5.5712091081055499</v>
      </c>
    </row>
    <row r="3" spans="1:7" x14ac:dyDescent="0.35">
      <c r="A3" t="s">
        <v>1</v>
      </c>
      <c r="B3">
        <v>12.7145822090304</v>
      </c>
      <c r="C3">
        <v>4.6541028275206502</v>
      </c>
      <c r="D3">
        <v>5.8035019455252899</v>
      </c>
      <c r="E3">
        <v>5.86493920092646</v>
      </c>
      <c r="F3">
        <v>8.1335907774080898</v>
      </c>
      <c r="G3">
        <v>5.5712091081055499</v>
      </c>
    </row>
    <row r="4" spans="1:7" x14ac:dyDescent="0.35">
      <c r="A4" t="s">
        <v>2</v>
      </c>
      <c r="B4">
        <v>6.6862595775977498</v>
      </c>
      <c r="C4">
        <v>6.3550532789910603</v>
      </c>
      <c r="D4">
        <v>5.8035019455252899</v>
      </c>
      <c r="E4">
        <v>5.86493920092646</v>
      </c>
      <c r="F4">
        <v>8.1335907774080898</v>
      </c>
      <c r="G4">
        <v>5.5712091081055499</v>
      </c>
    </row>
    <row r="5" spans="1:7" x14ac:dyDescent="0.35">
      <c r="A5" t="s">
        <v>3</v>
      </c>
      <c r="B5">
        <v>7.9206773408234001</v>
      </c>
      <c r="C5">
        <v>5.9916218637992804</v>
      </c>
      <c r="D5">
        <v>5.8035019455252899</v>
      </c>
      <c r="E5">
        <v>5.86493920092646</v>
      </c>
      <c r="F5">
        <v>8.1335907774080898</v>
      </c>
      <c r="G5">
        <v>5.5712091081055499</v>
      </c>
    </row>
    <row r="6" spans="1:7" x14ac:dyDescent="0.35">
      <c r="A6" t="s">
        <v>4</v>
      </c>
      <c r="B6">
        <v>4.3169552403920797</v>
      </c>
      <c r="C6">
        <v>2.34480377513691</v>
      </c>
      <c r="D6">
        <v>5.8035019455252899</v>
      </c>
      <c r="E6">
        <v>5.86493920092646</v>
      </c>
      <c r="F6">
        <v>8.1335907774080898</v>
      </c>
      <c r="G6">
        <v>5.5712091081055499</v>
      </c>
    </row>
    <row r="7" spans="1:7" x14ac:dyDescent="0.35">
      <c r="A7" t="s">
        <v>5</v>
      </c>
      <c r="B7">
        <v>4.1808706819326904</v>
      </c>
      <c r="C7">
        <v>3.5342139419572298</v>
      </c>
      <c r="D7">
        <v>5.8035019455252899</v>
      </c>
      <c r="E7">
        <v>5.86493920092646</v>
      </c>
      <c r="F7">
        <v>8.1335907774080898</v>
      </c>
      <c r="G7">
        <v>5.5712091081055499</v>
      </c>
    </row>
    <row r="8" spans="1:7" x14ac:dyDescent="0.35">
      <c r="A8" t="s">
        <v>6</v>
      </c>
      <c r="B8">
        <v>9.8308821808821794</v>
      </c>
      <c r="C8">
        <v>7.5420569281771002</v>
      </c>
      <c r="D8">
        <v>5.8035019455252899</v>
      </c>
      <c r="E8">
        <v>5.86493920092646</v>
      </c>
      <c r="F8">
        <v>8.1335907774080898</v>
      </c>
      <c r="G8">
        <v>5.5712091081055499</v>
      </c>
    </row>
    <row r="9" spans="1:7" x14ac:dyDescent="0.35">
      <c r="A9" t="s">
        <v>7</v>
      </c>
      <c r="B9">
        <v>10.7160736993628</v>
      </c>
      <c r="D9">
        <v>5.8035019455252899</v>
      </c>
      <c r="E9">
        <v>5.86493920092646</v>
      </c>
      <c r="F9">
        <v>8.1335907774080898</v>
      </c>
      <c r="G9">
        <v>5.5712091081055499</v>
      </c>
    </row>
    <row r="10" spans="1:7" x14ac:dyDescent="0.35">
      <c r="A10" t="s">
        <v>8</v>
      </c>
      <c r="B10">
        <v>8.5933370421116706</v>
      </c>
      <c r="C10">
        <v>7.6784811940447302</v>
      </c>
      <c r="D10">
        <v>5.8035019455252899</v>
      </c>
      <c r="E10">
        <v>5.86493920092646</v>
      </c>
      <c r="F10">
        <v>8.1335907774080898</v>
      </c>
      <c r="G10">
        <v>5.5712091081055499</v>
      </c>
    </row>
    <row r="11" spans="1:7" x14ac:dyDescent="0.35">
      <c r="A11" t="s">
        <v>9</v>
      </c>
      <c r="B11">
        <v>11.436273069121</v>
      </c>
      <c r="C11">
        <v>8.3456371629102506</v>
      </c>
      <c r="D11">
        <v>5.8035019455252899</v>
      </c>
      <c r="E11">
        <v>5.86493920092646</v>
      </c>
      <c r="F11">
        <v>8.1335907774080898</v>
      </c>
      <c r="G11">
        <v>5.5712091081055499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"/>
  <sheetViews>
    <sheetView workbookViewId="0">
      <selection activeCell="C2" sqref="C2"/>
    </sheetView>
  </sheetViews>
  <sheetFormatPr defaultColWidth="11.453125" defaultRowHeight="14.5" x14ac:dyDescent="0.35"/>
  <sheetData>
    <row r="1" spans="1:3" x14ac:dyDescent="0.35">
      <c r="A1" t="s">
        <v>10</v>
      </c>
      <c r="B1" t="s">
        <v>11</v>
      </c>
      <c r="C1" t="s">
        <v>184</v>
      </c>
    </row>
    <row r="2" spans="1:3" x14ac:dyDescent="0.35">
      <c r="A2" t="s">
        <v>15</v>
      </c>
      <c r="B2" t="s">
        <v>16</v>
      </c>
      <c r="C2">
        <v>6.17325347341548</v>
      </c>
    </row>
    <row r="3" spans="1:3" x14ac:dyDescent="0.35">
      <c r="A3" t="s">
        <v>17</v>
      </c>
      <c r="B3" t="s">
        <v>16</v>
      </c>
      <c r="C3">
        <v>5.9697558268590498</v>
      </c>
    </row>
    <row r="4" spans="1:3" x14ac:dyDescent="0.35">
      <c r="A4" t="s">
        <v>18</v>
      </c>
      <c r="B4" t="s">
        <v>16</v>
      </c>
      <c r="C4">
        <v>5.93396069485041</v>
      </c>
    </row>
    <row r="5" spans="1:3" x14ac:dyDescent="0.35">
      <c r="A5" t="s">
        <v>19</v>
      </c>
      <c r="B5" t="s">
        <v>16</v>
      </c>
      <c r="C5">
        <v>6.1635423966363003</v>
      </c>
    </row>
    <row r="6" spans="1:3" x14ac:dyDescent="0.35">
      <c r="A6" t="s">
        <v>20</v>
      </c>
      <c r="B6" t="s">
        <v>16</v>
      </c>
      <c r="C6">
        <v>6.04427557335275</v>
      </c>
    </row>
    <row r="7" spans="1:3" x14ac:dyDescent="0.35">
      <c r="A7" t="s">
        <v>21</v>
      </c>
      <c r="B7" t="s">
        <v>16</v>
      </c>
      <c r="C7">
        <v>6.3068834537706104</v>
      </c>
    </row>
    <row r="8" spans="1:3" x14ac:dyDescent="0.35">
      <c r="A8" t="s">
        <v>22</v>
      </c>
      <c r="B8" t="s">
        <v>16</v>
      </c>
      <c r="C8">
        <v>6.0855722645189703</v>
      </c>
    </row>
    <row r="9" spans="1:3" x14ac:dyDescent="0.35">
      <c r="A9" t="s">
        <v>23</v>
      </c>
      <c r="B9" t="s">
        <v>16</v>
      </c>
      <c r="C9">
        <v>6.0615706368294502</v>
      </c>
    </row>
    <row r="10" spans="1:3" x14ac:dyDescent="0.35">
      <c r="A10" t="s">
        <v>24</v>
      </c>
      <c r="B10" t="s">
        <v>16</v>
      </c>
      <c r="C10">
        <v>6.0230540827147401</v>
      </c>
    </row>
    <row r="11" spans="1:3" x14ac:dyDescent="0.35">
      <c r="A11" t="s">
        <v>25</v>
      </c>
      <c r="B11" t="s">
        <v>16</v>
      </c>
      <c r="C11">
        <v>6.0566078221008501</v>
      </c>
    </row>
    <row r="12" spans="1:3" x14ac:dyDescent="0.35">
      <c r="A12" t="s">
        <v>26</v>
      </c>
      <c r="B12" t="s">
        <v>16</v>
      </c>
      <c r="C12">
        <v>6.0884951852096698</v>
      </c>
    </row>
    <row r="13" spans="1:3" x14ac:dyDescent="0.35">
      <c r="A13" t="s">
        <v>27</v>
      </c>
      <c r="B13" t="s">
        <v>16</v>
      </c>
      <c r="C13">
        <v>6.2134286602424602</v>
      </c>
    </row>
    <row r="14" spans="1:3" x14ac:dyDescent="0.35">
      <c r="A14" t="s">
        <v>28</v>
      </c>
      <c r="B14" t="s">
        <v>16</v>
      </c>
      <c r="C14">
        <v>6.1896407685881396</v>
      </c>
    </row>
    <row r="15" spans="1:3" x14ac:dyDescent="0.35">
      <c r="A15" t="s">
        <v>29</v>
      </c>
      <c r="B15" t="s">
        <v>16</v>
      </c>
      <c r="C15">
        <v>6.0373842985945902</v>
      </c>
    </row>
    <row r="16" spans="1:3" x14ac:dyDescent="0.35">
      <c r="A16" t="s">
        <v>30</v>
      </c>
      <c r="B16" t="s">
        <v>16</v>
      </c>
      <c r="C16">
        <v>6.0699194534643404</v>
      </c>
    </row>
    <row r="18" spans="2:3" x14ac:dyDescent="0.35">
      <c r="B18" t="s">
        <v>185</v>
      </c>
      <c r="C18">
        <f>AVERAGE(C2:C4)</f>
        <v>6.0256566650416472</v>
      </c>
    </row>
    <row r="19" spans="2:3" x14ac:dyDescent="0.35">
      <c r="B19" t="s">
        <v>186</v>
      </c>
      <c r="C19">
        <f>AVERAGE(C14:C16)</f>
        <v>6.0989815068823567</v>
      </c>
    </row>
    <row r="21" spans="2:3" x14ac:dyDescent="0.35">
      <c r="C21" s="1">
        <f>(C19-C18)/C18</f>
        <v>1.2168771955778654E-2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Best_Trusts</vt:lpstr>
      <vt:lpstr>Figure 1</vt:lpstr>
      <vt:lpstr>Figure 2</vt:lpstr>
      <vt:lpstr>Figure 3</vt:lpstr>
      <vt:lpstr>Figure 4</vt:lpstr>
      <vt:lpstr>Figure 4b</vt:lpstr>
      <vt:lpstr>Figure 5</vt:lpstr>
      <vt:lpstr>Figure 6</vt:lpstr>
      <vt:lpstr>Figure 7</vt:lpstr>
      <vt:lpstr>Figure 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georges</dc:creator>
  <cp:lastModifiedBy>George Stevenson</cp:lastModifiedBy>
  <dcterms:created xsi:type="dcterms:W3CDTF">2025-09-16T09:07:38Z</dcterms:created>
  <dcterms:modified xsi:type="dcterms:W3CDTF">2025-10-17T10:09:31Z</dcterms:modified>
</cp:coreProperties>
</file>