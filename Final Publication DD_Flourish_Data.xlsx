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hehealthfoundation98-my.sharepoint.com/personal/george_stevenson_health_org_uk/Documents/Documents/RAD/Delayed Discharges/Delayed_Discharges/"/>
    </mc:Choice>
  </mc:AlternateContent>
  <xr:revisionPtr revIDLastSave="331" documentId="11_99B523DDAC553C10797E2D2E7A21D6753F3DA4C4" xr6:coauthVersionLast="47" xr6:coauthVersionMax="47" xr10:uidLastSave="{29A5EEB4-0992-47C0-9765-8A7E3648C736}"/>
  <bookViews>
    <workbookView minimized="1" xWindow="4300" yWindow="4870" windowWidth="14400" windowHeight="8170" firstSheet="2" activeTab="7" xr2:uid="{00000000-000D-0000-FFFF-FFFF00000000}"/>
  </bookViews>
  <sheets>
    <sheet name="Best_Trusts" sheetId="1" r:id="rId1"/>
    <sheet name="Figure 1" sheetId="2" r:id="rId2"/>
    <sheet name="National Delay length" sheetId="3" r:id="rId3"/>
    <sheet name="Figure 2" sheetId="4" r:id="rId4"/>
    <sheet name="Figure 3" sheetId="5" r:id="rId5"/>
    <sheet name="Figure 4" sheetId="6" r:id="rId6"/>
    <sheet name="Figure 4b" sheetId="7" r:id="rId7"/>
    <sheet name="Figure 5" sheetId="8" r:id="rId8"/>
    <sheet name="Figure 6" sheetId="9" r:id="rId9"/>
    <sheet name="Figure 7" sheetId="10" r:id="rId10"/>
    <sheet name="Figure 7b" sheetId="11" r:id="rId11"/>
    <sheet name="Most Improved Consistency" sheetId="12" r:id="rId12"/>
    <sheet name="All trusts staffing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8" l="1"/>
  <c r="U20" i="8"/>
  <c r="U21" i="8"/>
  <c r="U22" i="8"/>
  <c r="U37" i="8"/>
  <c r="U38" i="8"/>
  <c r="U39" i="8"/>
  <c r="U40" i="8"/>
  <c r="U43" i="8"/>
  <c r="T14" i="8"/>
  <c r="T16" i="8"/>
  <c r="T19" i="8"/>
  <c r="T20" i="8"/>
  <c r="T21" i="8"/>
  <c r="T22" i="8"/>
  <c r="T23" i="8"/>
  <c r="T27" i="8"/>
  <c r="T28" i="8"/>
  <c r="T30" i="8"/>
  <c r="T31" i="8"/>
  <c r="T37" i="8"/>
  <c r="T38" i="8"/>
  <c r="T39" i="8"/>
  <c r="T40" i="8"/>
  <c r="T12" i="8"/>
  <c r="S40" i="8"/>
  <c r="S41" i="8"/>
  <c r="S42" i="8"/>
  <c r="S43" i="8"/>
  <c r="S44" i="8"/>
  <c r="S45" i="8"/>
  <c r="S46" i="8"/>
  <c r="S47" i="8"/>
  <c r="S39" i="8"/>
  <c r="S31" i="8"/>
  <c r="S32" i="8"/>
  <c r="S33" i="8"/>
  <c r="S34" i="8"/>
  <c r="S35" i="8"/>
  <c r="S36" i="8"/>
  <c r="S37" i="8"/>
  <c r="S38" i="8"/>
  <c r="S30" i="8"/>
  <c r="S22" i="8"/>
  <c r="S23" i="8"/>
  <c r="S24" i="8"/>
  <c r="S25" i="8"/>
  <c r="S26" i="8"/>
  <c r="S27" i="8"/>
  <c r="S28" i="8"/>
  <c r="S29" i="8"/>
  <c r="S21" i="8"/>
  <c r="S13" i="8"/>
  <c r="S14" i="8"/>
  <c r="S15" i="8"/>
  <c r="S16" i="8"/>
  <c r="S17" i="8"/>
  <c r="S18" i="8"/>
  <c r="S19" i="8"/>
  <c r="S20" i="8"/>
  <c r="S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12" i="8"/>
  <c r="B12" i="6"/>
  <c r="B13" i="6"/>
  <c r="B14" i="6"/>
  <c r="B15" i="6"/>
  <c r="B16" i="6"/>
  <c r="B17" i="6"/>
  <c r="B20" i="6"/>
  <c r="B21" i="6"/>
  <c r="B22" i="6"/>
  <c r="B23" i="6"/>
  <c r="B24" i="6"/>
  <c r="B25" i="6"/>
  <c r="B26" i="6"/>
  <c r="B11" i="6"/>
  <c r="D21" i="6"/>
  <c r="D22" i="6"/>
  <c r="D23" i="6"/>
  <c r="D24" i="6"/>
  <c r="D25" i="6"/>
  <c r="D26" i="6"/>
  <c r="D20" i="6"/>
  <c r="A110" i="4"/>
  <c r="I20" i="8"/>
  <c r="H20" i="8"/>
  <c r="M20" i="8"/>
  <c r="M19" i="8"/>
  <c r="M13" i="8"/>
  <c r="M14" i="8"/>
  <c r="M15" i="8"/>
  <c r="M16" i="8"/>
  <c r="M17" i="8"/>
  <c r="M18" i="8"/>
  <c r="M12" i="8"/>
  <c r="I19" i="8"/>
  <c r="H19" i="8"/>
  <c r="I13" i="8"/>
  <c r="U13" i="8" s="1"/>
  <c r="I14" i="8"/>
  <c r="U25" i="8" s="1"/>
  <c r="I15" i="8"/>
  <c r="U26" i="8" s="1"/>
  <c r="I16" i="8"/>
  <c r="U27" i="8" s="1"/>
  <c r="I17" i="8"/>
  <c r="U28" i="8" s="1"/>
  <c r="I18" i="8"/>
  <c r="U29" i="8" s="1"/>
  <c r="I12" i="8"/>
  <c r="U41" i="8" s="1"/>
  <c r="H13" i="8"/>
  <c r="T13" i="8" s="1"/>
  <c r="H14" i="8"/>
  <c r="T25" i="8" s="1"/>
  <c r="H15" i="8"/>
  <c r="T26" i="8" s="1"/>
  <c r="H16" i="8"/>
  <c r="T34" i="8" s="1"/>
  <c r="H17" i="8"/>
  <c r="T17" i="8" s="1"/>
  <c r="H18" i="8"/>
  <c r="T36" i="8" s="1"/>
  <c r="H12" i="8"/>
  <c r="T41" i="8" s="1"/>
  <c r="C24" i="3"/>
  <c r="C22" i="3"/>
  <c r="C21" i="3"/>
  <c r="D24" i="2"/>
  <c r="E24" i="2"/>
  <c r="C24" i="2"/>
  <c r="D22" i="2"/>
  <c r="E22" i="2"/>
  <c r="C22" i="2"/>
  <c r="D21" i="2"/>
  <c r="E21" i="2"/>
  <c r="C21" i="2"/>
  <c r="T29" i="8" l="1"/>
  <c r="U42" i="8"/>
  <c r="T47" i="8"/>
  <c r="T43" i="8"/>
  <c r="T45" i="8"/>
  <c r="T18" i="8"/>
  <c r="T24" i="8"/>
  <c r="U12" i="8"/>
  <c r="U36" i="8"/>
  <c r="U24" i="8"/>
  <c r="T42" i="8"/>
  <c r="U23" i="8"/>
  <c r="T35" i="8"/>
  <c r="U47" i="8"/>
  <c r="U35" i="8"/>
  <c r="T46" i="8"/>
  <c r="U46" i="8"/>
  <c r="U34" i="8"/>
  <c r="U33" i="8"/>
  <c r="T33" i="8"/>
  <c r="U45" i="8"/>
  <c r="T44" i="8"/>
  <c r="T32" i="8"/>
  <c r="U44" i="8"/>
  <c r="U32" i="8"/>
  <c r="U31" i="8"/>
  <c r="U18" i="8"/>
  <c r="U30" i="8"/>
  <c r="U17" i="8"/>
  <c r="U16" i="8"/>
  <c r="T15" i="8"/>
  <c r="U15" i="8"/>
  <c r="U14" i="8"/>
</calcChain>
</file>

<file path=xl/sharedStrings.xml><?xml version="1.0" encoding="utf-8"?>
<sst xmlns="http://schemas.openxmlformats.org/spreadsheetml/2006/main" count="2466" uniqueCount="289">
  <si>
    <t>RBK</t>
  </si>
  <si>
    <t>RCF</t>
  </si>
  <si>
    <t>REM</t>
  </si>
  <si>
    <t>RGR</t>
  </si>
  <si>
    <t>RJC</t>
  </si>
  <si>
    <t>RLT</t>
  </si>
  <si>
    <t>RTE</t>
  </si>
  <si>
    <t>month</t>
  </si>
  <si>
    <t>org_code</t>
  </si>
  <si>
    <t>perc_patients_delayed</t>
  </si>
  <si>
    <t>patients_discharged_volume</t>
  </si>
  <si>
    <t>perc_bed_delays</t>
  </si>
  <si>
    <t>Apr-24</t>
  </si>
  <si>
    <t>National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</si>
  <si>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</si>
  <si>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</si>
  <si>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</si>
  <si>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</si>
  <si>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</si>
  <si>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</si>
  <si>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</si>
  <si>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</si>
  <si>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</si>
  <si>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</si>
  <si>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</si>
  <si>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</si>
  <si>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</si>
  <si>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</si>
  <si>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</si>
  <si>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</si>
  <si>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</si>
  <si>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average_delay_los_minus_0_day_delay</t>
  </si>
  <si>
    <t>post</t>
  </si>
  <si>
    <t>pre</t>
  </si>
  <si>
    <t>difference</t>
  </si>
  <si>
    <t>pre_median</t>
  </si>
  <si>
    <t>post_median</t>
  </si>
  <si>
    <t>median_difference</t>
  </si>
  <si>
    <t>pre_mean</t>
  </si>
  <si>
    <t>post_mean</t>
  </si>
  <si>
    <t>mean_difference</t>
  </si>
  <si>
    <t>R0A</t>
  </si>
  <si>
    <t>R0B</t>
  </si>
  <si>
    <t>R0D</t>
  </si>
  <si>
    <t>R1F</t>
  </si>
  <si>
    <t>R1H</t>
  </si>
  <si>
    <t>RA2</t>
  </si>
  <si>
    <t>RA7</t>
  </si>
  <si>
    <t>RA9</t>
  </si>
  <si>
    <t>RAE</t>
  </si>
  <si>
    <t>RAJ</t>
  </si>
  <si>
    <t>RAL</t>
  </si>
  <si>
    <t>RAS</t>
  </si>
  <si>
    <t>RAX</t>
  </si>
  <si>
    <t>RBD</t>
  </si>
  <si>
    <t>RBN</t>
  </si>
  <si>
    <t>RC9</t>
  </si>
  <si>
    <t>RCB</t>
  </si>
  <si>
    <t>RCD</t>
  </si>
  <si>
    <t>RD1</t>
  </si>
  <si>
    <t>RD8</t>
  </si>
  <si>
    <t>RDE</t>
  </si>
  <si>
    <t>RDU</t>
  </si>
  <si>
    <t>REF</t>
  </si>
  <si>
    <t>RF4</t>
  </si>
  <si>
    <t>RFF</t>
  </si>
  <si>
    <t>RFR</t>
  </si>
  <si>
    <t>RFS</t>
  </si>
  <si>
    <t>RGP</t>
  </si>
  <si>
    <t>RGT</t>
  </si>
  <si>
    <t>RH5</t>
  </si>
  <si>
    <t>RH8</t>
  </si>
  <si>
    <t>RHM</t>
  </si>
  <si>
    <t>RHQ</t>
  </si>
  <si>
    <t>RHU</t>
  </si>
  <si>
    <t>RHW</t>
  </si>
  <si>
    <t>RJ1</t>
  </si>
  <si>
    <t>RJ2</t>
  </si>
  <si>
    <t>RJ6</t>
  </si>
  <si>
    <t>RJ7</t>
  </si>
  <si>
    <t>RJE</t>
  </si>
  <si>
    <t>RJL</t>
  </si>
  <si>
    <t>RJR</t>
  </si>
  <si>
    <t>RJZ</t>
  </si>
  <si>
    <t>RK5</t>
  </si>
  <si>
    <t>RK9</t>
  </si>
  <si>
    <t>RKB</t>
  </si>
  <si>
    <t>RKE</t>
  </si>
  <si>
    <t>RL4</t>
  </si>
  <si>
    <t>RLQ</t>
  </si>
  <si>
    <t>RM1</t>
  </si>
  <si>
    <t>RM3</t>
  </si>
  <si>
    <t>RMP</t>
  </si>
  <si>
    <t>RN3</t>
  </si>
  <si>
    <t>RN5</t>
  </si>
  <si>
    <t>RN7</t>
  </si>
  <si>
    <t>RNA</t>
  </si>
  <si>
    <t>RNN</t>
  </si>
  <si>
    <t>RNQ</t>
  </si>
  <si>
    <t>RNS</t>
  </si>
  <si>
    <t>RNZ</t>
  </si>
  <si>
    <t>RP5</t>
  </si>
  <si>
    <t>RPA</t>
  </si>
  <si>
    <t>RQM</t>
  </si>
  <si>
    <t>RQX</t>
  </si>
  <si>
    <t>RR7</t>
  </si>
  <si>
    <t>RR8</t>
  </si>
  <si>
    <t>RRK</t>
  </si>
  <si>
    <t>RRV</t>
  </si>
  <si>
    <t>RTD</t>
  </si>
  <si>
    <t>RTF</t>
  </si>
  <si>
    <t>RTG</t>
  </si>
  <si>
    <t>RTH</t>
  </si>
  <si>
    <t>RTK</t>
  </si>
  <si>
    <t>RTP</t>
  </si>
  <si>
    <t>RTR</t>
  </si>
  <si>
    <t>RTX</t>
  </si>
  <si>
    <t>RVJ</t>
  </si>
  <si>
    <t>RVR</t>
  </si>
  <si>
    <t>RVV</t>
  </si>
  <si>
    <t>RVW</t>
  </si>
  <si>
    <t>RWA</t>
  </si>
  <si>
    <t>RWD</t>
  </si>
  <si>
    <t>RWE</t>
  </si>
  <si>
    <t>RWF</t>
  </si>
  <si>
    <t>RWG</t>
  </si>
  <si>
    <t>RWH</t>
  </si>
  <si>
    <t>RWJ</t>
  </si>
  <si>
    <t>RWP</t>
  </si>
  <si>
    <t>RWW</t>
  </si>
  <si>
    <t>RWY</t>
  </si>
  <si>
    <t>RX1</t>
  </si>
  <si>
    <t>RXC</t>
  </si>
  <si>
    <t>RXF</t>
  </si>
  <si>
    <t>RXK</t>
  </si>
  <si>
    <t>RXN</t>
  </si>
  <si>
    <t>RXP</t>
  </si>
  <si>
    <t>RXQ</t>
  </si>
  <si>
    <t>RXW</t>
  </si>
  <si>
    <t>RYJ</t>
  </si>
  <si>
    <t>RYR</t>
  </si>
  <si>
    <t>rank_pre</t>
  </si>
  <si>
    <t>rank_post</t>
  </si>
  <si>
    <t>rank_change</t>
  </si>
  <si>
    <t>Pre_occupancy</t>
  </si>
  <si>
    <t>Post_occupancy</t>
  </si>
  <si>
    <t>Pre_beds</t>
  </si>
  <si>
    <t>Post_beds</t>
  </si>
  <si>
    <t>All_Median_Pre_occupancy</t>
  </si>
  <si>
    <t>All_Median_Post_occupancy</t>
  </si>
  <si>
    <t>All_Median_Pre_beds</t>
  </si>
  <si>
    <t>All_Median_Post_beds</t>
  </si>
  <si>
    <t>avgbest_Pre_occupancy</t>
  </si>
  <si>
    <t>avgbest_Post_occupancy</t>
  </si>
  <si>
    <t>avgbest_Pre_beds</t>
  </si>
  <si>
    <t>avgbest_Post_beds</t>
  </si>
  <si>
    <t>occupancy_change_best_trusts</t>
  </si>
  <si>
    <t>occupancy_change_all_trusts</t>
  </si>
  <si>
    <t>beds_change_best_trusts</t>
  </si>
  <si>
    <t>beds_change_all_trusts</t>
  </si>
  <si>
    <t>pct_difference</t>
  </si>
  <si>
    <t>Pre_doctors</t>
  </si>
  <si>
    <t>Pre_nurses</t>
  </si>
  <si>
    <t>Post_doctors</t>
  </si>
  <si>
    <t>Post_nurses</t>
  </si>
  <si>
    <t>All_Median_Pre_nurses</t>
  </si>
  <si>
    <t>All_Median_Pre_doctors</t>
  </si>
  <si>
    <t>All_Median_Post_nurses</t>
  </si>
  <si>
    <t>All_Median_Post_doctors</t>
  </si>
  <si>
    <t>avgbest_Pre_nurses</t>
  </si>
  <si>
    <t>avgbest_Post_nurses</t>
  </si>
  <si>
    <t>avgbest_Pre_doctors</t>
  </si>
  <si>
    <t>avgbest_Post_doctors</t>
  </si>
  <si>
    <t>doc_change_best_trusts</t>
  </si>
  <si>
    <t>nurse_change_best_trusts</t>
  </si>
  <si>
    <t>doc_change_all_trusts</t>
  </si>
  <si>
    <t>nurse_change_all_trusts</t>
  </si>
  <si>
    <t>pre_pathway_1</t>
  </si>
  <si>
    <t>pre_pathway_2</t>
  </si>
  <si>
    <t>pre_pathway_3</t>
  </si>
  <si>
    <t>post_pathway_1</t>
  </si>
  <si>
    <t>post_pathway_2</t>
  </si>
  <si>
    <t>post_pathway_3</t>
  </si>
  <si>
    <t>All_Median_Pre_Pathway_1</t>
  </si>
  <si>
    <t>All_Median_Post_Pathway_1</t>
  </si>
  <si>
    <t>All_Median_Pre_Pathway_2</t>
  </si>
  <si>
    <t>All_Median_Post_Pathway_2</t>
  </si>
  <si>
    <t>All_Median_Pre_Pathway_3</t>
  </si>
  <si>
    <t>All_Median_Post_Pathway_3</t>
  </si>
  <si>
    <t>avgbest_Pre_pathway_1</t>
  </si>
  <si>
    <t>avgbest_Post_pathway_1</t>
  </si>
  <si>
    <t>avgbest_Pre_pathway_2</t>
  </si>
  <si>
    <t>avgbest_Post_pathway_2</t>
  </si>
  <si>
    <t>avgbest_Pre_pathway_3</t>
  </si>
  <si>
    <t>avgbest_Post_pathway_3</t>
  </si>
  <si>
    <t>Pre_delay</t>
  </si>
  <si>
    <t>Post_delay</t>
  </si>
  <si>
    <t>All_Median_Pre_delay</t>
  </si>
  <si>
    <t>All_Median_Post_delay</t>
  </si>
  <si>
    <t>avgbest_Pre_delay</t>
  </si>
  <si>
    <t>avgbest_Post_delay</t>
  </si>
  <si>
    <t>dd_bed_days</t>
  </si>
  <si>
    <t>no_delay_perc</t>
  </si>
  <si>
    <t>delay_perc</t>
  </si>
  <si>
    <t>no_delay_volume</t>
  </si>
  <si>
    <t>1_day_delay_volume</t>
  </si>
  <si>
    <t>2_3_day_delay_volume</t>
  </si>
  <si>
    <t>4_6_day_delay_volume</t>
  </si>
  <si>
    <t>7_13_day_delay_volume</t>
  </si>
  <si>
    <t>14_20_day_delay_volume</t>
  </si>
  <si>
    <t>21plus_day_delay_volume</t>
  </si>
  <si>
    <t>no_delay_percent</t>
  </si>
  <si>
    <t>1_day_delay_perc</t>
  </si>
  <si>
    <t>2_3_day_delay_perc</t>
  </si>
  <si>
    <t>4_6_day_delay_perc</t>
  </si>
  <si>
    <t>7_13_day_delay_perc</t>
  </si>
  <si>
    <t>14_20_day_delay_perc</t>
  </si>
  <si>
    <t>21plus_day_delay_perc</t>
  </si>
  <si>
    <t>delayed_perc_1_day</t>
  </si>
  <si>
    <t>delayed_perc_2_3_days</t>
  </si>
  <si>
    <t>delayed_perc_4_6_days</t>
  </si>
  <si>
    <t>delayed_perc_7_13_days</t>
  </si>
  <si>
    <t>delayed_perc_14_20_days</t>
  </si>
  <si>
    <t>delayed_perc_21plus_days</t>
  </si>
  <si>
    <t>1_day_delay_beddays</t>
  </si>
  <si>
    <t>2_3_day_delay_beddays</t>
  </si>
  <si>
    <t>4_6_day_delay_beddays</t>
  </si>
  <si>
    <t>7_13_day_delay_beddays</t>
  </si>
  <si>
    <t>14_20_day_delay_beddays</t>
  </si>
  <si>
    <t>21plus_day_delay_beddays</t>
  </si>
  <si>
    <t>average_delay_los_inc_0_day_delay</t>
  </si>
  <si>
    <t>total_delay_volume</t>
  </si>
  <si>
    <t>acute_beds</t>
  </si>
  <si>
    <t>adult_acute_beds</t>
  </si>
  <si>
    <t>occupied_beds</t>
  </si>
  <si>
    <t>occupancy_rate</t>
  </si>
  <si>
    <t>days_in_month</t>
  </si>
  <si>
    <t>doctors</t>
  </si>
  <si>
    <t>nurses</t>
  </si>
  <si>
    <t>RAP</t>
  </si>
  <si>
    <t>R1K</t>
  </si>
  <si>
    <t>RQ3</t>
  </si>
  <si>
    <t>RQW</t>
  </si>
  <si>
    <t>RCX</t>
  </si>
  <si>
    <t>RGN</t>
  </si>
  <si>
    <t>RXL</t>
  </si>
  <si>
    <t>RXR</t>
  </si>
  <si>
    <t>RMC</t>
  </si>
  <si>
    <t>RRF</t>
  </si>
  <si>
    <t>RJN</t>
  </si>
  <si>
    <t>RBT</t>
  </si>
  <si>
    <t>RBL</t>
  </si>
  <si>
    <t>Walsall</t>
  </si>
  <si>
    <t>WALSALL HEALTHCARE NHS TRUST</t>
  </si>
  <si>
    <t>AIREDALE NHS FOUNDATION TRUST</t>
  </si>
  <si>
    <t>AINTREE UNIVERSITY HOSPITAL NHS FOUNDATION TRUST</t>
  </si>
  <si>
    <t>WEST SUFFOLK NHS FOUNDATION TRUST</t>
  </si>
  <si>
    <t>SOUTH WARWICKSHIRE NHS FOUNDATION TRUST</t>
  </si>
  <si>
    <t>GEORGE ELIOT HOSPITAL NHS TRUST</t>
  </si>
  <si>
    <t>GLOUCESTERSHIRE HOSPITALS NHS FOUNDATION TRUST</t>
  </si>
  <si>
    <t>Airedale</t>
  </si>
  <si>
    <t>Aintree</t>
  </si>
  <si>
    <t>West Suffolk</t>
  </si>
  <si>
    <t>South Warwickshire</t>
  </si>
  <si>
    <t>George Eliot</t>
  </si>
  <si>
    <t>Gloucestershire</t>
  </si>
  <si>
    <t>Jul-Sep 2024</t>
  </si>
  <si>
    <t>Jul-Sep 2025</t>
  </si>
  <si>
    <t>Average*</t>
  </si>
  <si>
    <t>Time period</t>
  </si>
  <si>
    <t>Occupancy rate</t>
  </si>
  <si>
    <t>Doctors</t>
  </si>
  <si>
    <t>Nurses</t>
  </si>
  <si>
    <t>Staff volumes</t>
  </si>
  <si>
    <t>Staff % change</t>
  </si>
  <si>
    <t>Doctors %</t>
  </si>
  <si>
    <t>Nurses %</t>
  </si>
  <si>
    <t>Combined staff</t>
  </si>
  <si>
    <t>2024 vs 2025</t>
  </si>
  <si>
    <t>National median</t>
  </si>
  <si>
    <t>Flourish copy</t>
  </si>
  <si>
    <t>May-Jul 2024</t>
  </si>
  <si>
    <t>May-Jul 2025</t>
  </si>
  <si>
    <t>Type</t>
  </si>
  <si>
    <t>Each staff</t>
  </si>
  <si>
    <t>Change in doctors (%)</t>
  </si>
  <si>
    <t>Change in nurses(%)</t>
  </si>
  <si>
    <t>Total staff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</si>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</sst>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00%"/>
    <numFmt numFmtId="168" formatCode="0.00000%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14" fontId="1" fillId="0" borderId="0" xfId="0" applyNumberFormat="1" applyFont="1"/>
    <xf numFmtId="0" fontId="5" fillId="2" borderId="1" xfId="2" applyFont="1" applyFill="1" applyBorder="1"/>
    <xf numFmtId="0" fontId="0" fillId="3" borderId="0" xfId="0" applyFill="1"/>
    <xf numFmtId="10" fontId="0" fillId="3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6" borderId="0" xfId="0" applyFill="1"/>
    <xf numFmtId="10" fontId="0" fillId="6" borderId="0" xfId="1" applyNumberFormat="1" applyFont="1" applyFill="1"/>
    <xf numFmtId="10" fontId="0" fillId="7" borderId="0" xfId="1" applyNumberFormat="1" applyFont="1" applyFill="1"/>
    <xf numFmtId="0" fontId="0" fillId="7" borderId="0" xfId="0" applyFill="1"/>
    <xf numFmtId="10" fontId="0" fillId="5" borderId="0" xfId="1" applyNumberFormat="1" applyFont="1" applyFill="1"/>
    <xf numFmtId="10" fontId="0" fillId="3" borderId="0" xfId="1" applyNumberFormat="1" applyFont="1" applyFill="1"/>
    <xf numFmtId="10" fontId="0" fillId="0" borderId="0" xfId="1" applyNumberFormat="1" applyFont="1" applyFill="1"/>
    <xf numFmtId="0" fontId="0" fillId="8" borderId="0" xfId="0" applyFill="1"/>
    <xf numFmtId="0" fontId="0" fillId="8" borderId="0" xfId="1" applyNumberFormat="1" applyFont="1" applyFill="1"/>
    <xf numFmtId="0" fontId="0" fillId="9" borderId="0" xfId="1" applyNumberFormat="1" applyFont="1" applyFill="1"/>
    <xf numFmtId="0" fontId="0" fillId="4" borderId="0" xfId="1" applyNumberFormat="1" applyFont="1" applyFill="1"/>
    <xf numFmtId="10" fontId="0" fillId="4" borderId="0" xfId="1" applyNumberFormat="1" applyFont="1" applyFill="1"/>
    <xf numFmtId="164" fontId="0" fillId="4" borderId="0" xfId="1" applyNumberFormat="1" applyFont="1" applyFill="1"/>
    <xf numFmtId="168" fontId="0" fillId="3" borderId="0" xfId="1" applyNumberFormat="1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0" fontId="0" fillId="5" borderId="0" xfId="0" applyFill="1" applyBorder="1"/>
    <xf numFmtId="0" fontId="0" fillId="0" borderId="0" xfId="0" applyBorder="1"/>
    <xf numFmtId="166" fontId="0" fillId="0" borderId="0" xfId="1" applyNumberFormat="1" applyFont="1" applyBorder="1"/>
    <xf numFmtId="166" fontId="0" fillId="0" borderId="6" xfId="1" applyNumberFormat="1" applyFont="1" applyBorder="1"/>
    <xf numFmtId="0" fontId="0" fillId="3" borderId="0" xfId="0" applyFill="1" applyBorder="1"/>
    <xf numFmtId="0" fontId="0" fillId="0" borderId="7" xfId="0" applyFill="1" applyBorder="1"/>
    <xf numFmtId="0" fontId="0" fillId="0" borderId="8" xfId="0" applyFill="1" applyBorder="1"/>
    <xf numFmtId="0" fontId="0" fillId="3" borderId="8" xfId="0" applyFill="1" applyBorder="1"/>
    <xf numFmtId="0" fontId="0" fillId="0" borderId="8" xfId="0" applyBorder="1"/>
    <xf numFmtId="166" fontId="0" fillId="0" borderId="8" xfId="1" applyNumberFormat="1" applyFont="1" applyBorder="1"/>
    <xf numFmtId="166" fontId="0" fillId="0" borderId="9" xfId="1" applyNumberFormat="1" applyFont="1" applyBorder="1"/>
    <xf numFmtId="0" fontId="0" fillId="0" borderId="0" xfId="0" applyFill="1" applyAlignment="1">
      <alignment horizontal="center"/>
    </xf>
  </cellXfs>
  <cellStyles count="3">
    <cellStyle name="Normal" xfId="0" builtinId="0"/>
    <cellStyle name="Normal 2" xfId="2" xr:uid="{81F8AC21-3331-412F-A41A-AF48C498FE2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18" sqref="F18"/>
    </sheetView>
  </sheetViews>
  <sheetFormatPr defaultColWidth="10.90625" defaultRowHeight="14.5" x14ac:dyDescent="0.35"/>
  <sheetData>
    <row r="1" spans="1:6" x14ac:dyDescent="0.35">
      <c r="A1" t="s">
        <v>0</v>
      </c>
      <c r="B1" s="2" t="s">
        <v>253</v>
      </c>
      <c r="F1" t="s">
        <v>252</v>
      </c>
    </row>
    <row r="2" spans="1:6" x14ac:dyDescent="0.35">
      <c r="A2" t="s">
        <v>1</v>
      </c>
      <c r="B2" s="2" t="s">
        <v>254</v>
      </c>
      <c r="F2" t="s">
        <v>260</v>
      </c>
    </row>
    <row r="3" spans="1:6" x14ac:dyDescent="0.35">
      <c r="A3" t="s">
        <v>2</v>
      </c>
      <c r="B3" s="2" t="s">
        <v>255</v>
      </c>
      <c r="F3" t="s">
        <v>261</v>
      </c>
    </row>
    <row r="4" spans="1:6" x14ac:dyDescent="0.35">
      <c r="A4" t="s">
        <v>3</v>
      </c>
      <c r="B4" s="2" t="s">
        <v>256</v>
      </c>
      <c r="F4" t="s">
        <v>262</v>
      </c>
    </row>
    <row r="5" spans="1:6" x14ac:dyDescent="0.35">
      <c r="A5" t="s">
        <v>4</v>
      </c>
      <c r="B5" s="2" t="s">
        <v>257</v>
      </c>
      <c r="F5" t="s">
        <v>263</v>
      </c>
    </row>
    <row r="6" spans="1:6" x14ac:dyDescent="0.35">
      <c r="A6" t="s">
        <v>5</v>
      </c>
      <c r="B6" s="2" t="s">
        <v>258</v>
      </c>
      <c r="F6" t="s">
        <v>264</v>
      </c>
    </row>
    <row r="7" spans="1:6" x14ac:dyDescent="0.35">
      <c r="A7" t="s">
        <v>6</v>
      </c>
      <c r="B7" s="2" t="s">
        <v>259</v>
      </c>
      <c r="F7" t="s">
        <v>265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opLeftCell="A10" workbookViewId="0">
      <selection activeCell="G25" sqref="G25"/>
    </sheetView>
  </sheetViews>
  <sheetFormatPr defaultColWidth="10.90625" defaultRowHeight="14.5" x14ac:dyDescent="0.35"/>
  <cols>
    <col min="3" max="3" width="19.90625" bestFit="1" customWidth="1"/>
    <col min="4" max="4" width="17.6328125" customWidth="1"/>
    <col min="5" max="5" width="15" bestFit="1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12</v>
      </c>
      <c r="B2" t="s">
        <v>13</v>
      </c>
      <c r="C2">
        <v>13.538357238757399</v>
      </c>
      <c r="D2">
        <v>300908</v>
      </c>
      <c r="E2">
        <v>10.084920826300101</v>
      </c>
    </row>
    <row r="3" spans="1:5" x14ac:dyDescent="0.35">
      <c r="A3" t="s">
        <v>14</v>
      </c>
      <c r="B3" t="s">
        <v>13</v>
      </c>
      <c r="C3">
        <v>13.170789644387501</v>
      </c>
      <c r="D3">
        <v>328363</v>
      </c>
      <c r="E3">
        <v>9.6475573681735707</v>
      </c>
    </row>
    <row r="4" spans="1:5" x14ac:dyDescent="0.35">
      <c r="A4" t="s">
        <v>15</v>
      </c>
      <c r="B4" t="s">
        <v>13</v>
      </c>
      <c r="C4">
        <v>13.261209363300599</v>
      </c>
      <c r="D4">
        <v>317324</v>
      </c>
      <c r="E4">
        <v>9.5856157787279894</v>
      </c>
    </row>
    <row r="5" spans="1:5" x14ac:dyDescent="0.35">
      <c r="A5" t="s">
        <v>16</v>
      </c>
      <c r="B5" t="s">
        <v>13</v>
      </c>
      <c r="C5">
        <v>13.4822570025716</v>
      </c>
      <c r="D5">
        <v>338697</v>
      </c>
      <c r="E5">
        <v>10.374183777029501</v>
      </c>
    </row>
    <row r="6" spans="1:5" x14ac:dyDescent="0.35">
      <c r="A6" t="s">
        <v>17</v>
      </c>
      <c r="B6" t="s">
        <v>13</v>
      </c>
      <c r="C6">
        <v>13.0697497383195</v>
      </c>
      <c r="D6">
        <v>336288</v>
      </c>
      <c r="E6">
        <v>9.6675940444739599</v>
      </c>
    </row>
    <row r="7" spans="1:5" x14ac:dyDescent="0.35">
      <c r="A7" t="s">
        <v>18</v>
      </c>
      <c r="B7" t="s">
        <v>13</v>
      </c>
      <c r="C7">
        <v>13.1579187961126</v>
      </c>
      <c r="D7">
        <v>328137</v>
      </c>
      <c r="E7">
        <v>10.180240971082</v>
      </c>
    </row>
    <row r="8" spans="1:5" x14ac:dyDescent="0.35">
      <c r="A8" t="s">
        <v>19</v>
      </c>
      <c r="B8" t="s">
        <v>13</v>
      </c>
      <c r="C8">
        <v>13.623155278083299</v>
      </c>
      <c r="D8">
        <v>349985</v>
      </c>
      <c r="E8">
        <v>10.618010508086501</v>
      </c>
    </row>
    <row r="9" spans="1:5" x14ac:dyDescent="0.35">
      <c r="A9" t="s">
        <v>20</v>
      </c>
      <c r="B9" t="s">
        <v>13</v>
      </c>
      <c r="C9">
        <v>13.370486779115</v>
      </c>
      <c r="D9">
        <v>357616</v>
      </c>
      <c r="E9">
        <v>10.545600105281601</v>
      </c>
    </row>
    <row r="10" spans="1:5" x14ac:dyDescent="0.35">
      <c r="A10" t="s">
        <v>21</v>
      </c>
      <c r="B10" t="s">
        <v>13</v>
      </c>
      <c r="C10">
        <v>13.5515375174963</v>
      </c>
      <c r="D10">
        <v>347931</v>
      </c>
      <c r="E10">
        <v>10.095256439752699</v>
      </c>
    </row>
    <row r="11" spans="1:5" x14ac:dyDescent="0.35">
      <c r="A11" t="s">
        <v>22</v>
      </c>
      <c r="B11" t="s">
        <v>13</v>
      </c>
      <c r="C11">
        <v>14.473420459004901</v>
      </c>
      <c r="D11">
        <v>354201</v>
      </c>
      <c r="E11">
        <v>10.8099457706714</v>
      </c>
    </row>
    <row r="12" spans="1:5" x14ac:dyDescent="0.35">
      <c r="A12" t="s">
        <v>23</v>
      </c>
      <c r="B12" t="s">
        <v>13</v>
      </c>
      <c r="C12">
        <v>13.971509585574401</v>
      </c>
      <c r="D12">
        <v>324811</v>
      </c>
      <c r="E12">
        <v>10.7476394889968</v>
      </c>
    </row>
    <row r="13" spans="1:5" x14ac:dyDescent="0.35">
      <c r="A13" t="s">
        <v>24</v>
      </c>
      <c r="B13" t="s">
        <v>13</v>
      </c>
      <c r="C13">
        <v>13.7300650154358</v>
      </c>
      <c r="D13">
        <v>351455</v>
      </c>
      <c r="E13">
        <v>10.646586746112099</v>
      </c>
    </row>
    <row r="14" spans="1:5" x14ac:dyDescent="0.35">
      <c r="A14" t="s">
        <v>25</v>
      </c>
      <c r="B14" t="s">
        <v>13</v>
      </c>
      <c r="C14">
        <v>13.672968187789101</v>
      </c>
      <c r="D14">
        <v>350180</v>
      </c>
      <c r="E14">
        <v>10.7039764785968</v>
      </c>
    </row>
    <row r="15" spans="1:5" x14ac:dyDescent="0.35">
      <c r="A15" t="s">
        <v>26</v>
      </c>
      <c r="B15" t="s">
        <v>13</v>
      </c>
      <c r="C15">
        <v>13.8882796036283</v>
      </c>
      <c r="D15">
        <v>360167</v>
      </c>
      <c r="E15">
        <v>10.8160638499486</v>
      </c>
    </row>
    <row r="16" spans="1:5" x14ac:dyDescent="0.35">
      <c r="A16" t="s">
        <v>27</v>
      </c>
      <c r="B16" t="s">
        <v>13</v>
      </c>
      <c r="C16">
        <v>13.578801196799001</v>
      </c>
      <c r="D16">
        <v>349265</v>
      </c>
      <c r="E16">
        <v>10.838876612461499</v>
      </c>
    </row>
    <row r="17" spans="1:5" x14ac:dyDescent="0.35">
      <c r="A17" t="s">
        <v>28</v>
      </c>
      <c r="B17" t="s">
        <v>13</v>
      </c>
      <c r="C17">
        <v>14.0853310342511</v>
      </c>
      <c r="D17">
        <v>357244</v>
      </c>
      <c r="E17">
        <v>11.414820247037699</v>
      </c>
    </row>
    <row r="18" spans="1:5" x14ac:dyDescent="0.35">
      <c r="A18" t="s">
        <v>29</v>
      </c>
      <c r="B18" t="s">
        <v>13</v>
      </c>
      <c r="C18">
        <v>14.447669642368099</v>
      </c>
      <c r="D18">
        <v>328662</v>
      </c>
      <c r="E18">
        <v>10.336948927998399</v>
      </c>
    </row>
    <row r="19" spans="1:5" x14ac:dyDescent="0.35">
      <c r="A19" t="s">
        <v>30</v>
      </c>
      <c r="B19" t="s">
        <v>13</v>
      </c>
      <c r="C19">
        <v>14.3117761986059</v>
      </c>
      <c r="D19">
        <v>324502</v>
      </c>
      <c r="E19">
        <v>11.203131295688699</v>
      </c>
    </row>
    <row r="21" spans="1:5" x14ac:dyDescent="0.35">
      <c r="A21" s="3" t="s">
        <v>266</v>
      </c>
      <c r="B21" s="3"/>
      <c r="C21" s="5">
        <f>AVERAGE(C5:C7)</f>
        <v>13.236641845667899</v>
      </c>
      <c r="D21" s="6">
        <f t="shared" ref="D21:E21" si="0">AVERAGE(D5:D7)</f>
        <v>334374</v>
      </c>
      <c r="E21" s="5">
        <f t="shared" si="0"/>
        <v>10.074006264195154</v>
      </c>
    </row>
    <row r="22" spans="1:5" x14ac:dyDescent="0.35">
      <c r="A22" s="3" t="s">
        <v>267</v>
      </c>
      <c r="B22" s="3"/>
      <c r="C22" s="5">
        <f>AVERAGE(C17:C19)</f>
        <v>14.281592291741701</v>
      </c>
      <c r="D22" s="6">
        <f t="shared" ref="D22:E22" si="1">AVERAGE(D17:D19)</f>
        <v>336802.66666666669</v>
      </c>
      <c r="E22" s="5">
        <f t="shared" si="1"/>
        <v>10.984966823574931</v>
      </c>
    </row>
    <row r="23" spans="1:5" x14ac:dyDescent="0.35">
      <c r="A23" s="3"/>
      <c r="B23" s="3"/>
      <c r="C23" s="5"/>
      <c r="D23" s="5"/>
      <c r="E23" s="5"/>
    </row>
    <row r="24" spans="1:5" x14ac:dyDescent="0.35">
      <c r="A24" s="3"/>
      <c r="B24" s="3"/>
      <c r="C24" s="4">
        <f>(C22-C21)/C21</f>
        <v>7.8943772767848544E-2</v>
      </c>
      <c r="D24" s="4">
        <f t="shared" ref="D24:E24" si="2">(D22-D21)/D21</f>
        <v>7.2633239027755925E-3</v>
      </c>
      <c r="E24" s="4">
        <f t="shared" si="2"/>
        <v>9.0426840671868208E-2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opLeftCell="A3" workbookViewId="0">
      <selection activeCell="C24" sqref="C24"/>
    </sheetView>
  </sheetViews>
  <sheetFormatPr defaultColWidth="10.90625" defaultRowHeight="14.5" x14ac:dyDescent="0.35"/>
  <cols>
    <col min="3" max="3" width="10.90625" customWidth="1"/>
  </cols>
  <sheetData>
    <row r="1" spans="1:3" x14ac:dyDescent="0.35">
      <c r="A1" t="s">
        <v>7</v>
      </c>
      <c r="B1" t="s">
        <v>8</v>
      </c>
      <c r="C1" t="s">
        <v>31</v>
      </c>
    </row>
    <row r="2" spans="1:3" x14ac:dyDescent="0.35">
      <c r="A2" t="s">
        <v>12</v>
      </c>
      <c r="B2" t="s">
        <v>13</v>
      </c>
      <c r="C2">
        <v>6.17325347341548</v>
      </c>
    </row>
    <row r="3" spans="1:3" x14ac:dyDescent="0.35">
      <c r="A3" t="s">
        <v>14</v>
      </c>
      <c r="B3" t="s">
        <v>13</v>
      </c>
      <c r="C3">
        <v>5.9697558268590498</v>
      </c>
    </row>
    <row r="4" spans="1:3" x14ac:dyDescent="0.35">
      <c r="A4" t="s">
        <v>15</v>
      </c>
      <c r="B4" t="s">
        <v>13</v>
      </c>
      <c r="C4">
        <v>5.93396069485041</v>
      </c>
    </row>
    <row r="5" spans="1:3" x14ac:dyDescent="0.35">
      <c r="A5" t="s">
        <v>16</v>
      </c>
      <c r="B5" t="s">
        <v>13</v>
      </c>
      <c r="C5">
        <v>6.1635423966363003</v>
      </c>
    </row>
    <row r="6" spans="1:3" x14ac:dyDescent="0.35">
      <c r="A6" t="s">
        <v>17</v>
      </c>
      <c r="B6" t="s">
        <v>13</v>
      </c>
      <c r="C6">
        <v>6.04427557335275</v>
      </c>
    </row>
    <row r="7" spans="1:3" x14ac:dyDescent="0.35">
      <c r="A7" t="s">
        <v>18</v>
      </c>
      <c r="B7" t="s">
        <v>13</v>
      </c>
      <c r="C7">
        <v>6.3068834537706104</v>
      </c>
    </row>
    <row r="8" spans="1:3" x14ac:dyDescent="0.35">
      <c r="A8" t="s">
        <v>19</v>
      </c>
      <c r="B8" t="s">
        <v>13</v>
      </c>
      <c r="C8">
        <v>6.0855722645189703</v>
      </c>
    </row>
    <row r="9" spans="1:3" x14ac:dyDescent="0.35">
      <c r="A9" t="s">
        <v>20</v>
      </c>
      <c r="B9" t="s">
        <v>13</v>
      </c>
      <c r="C9">
        <v>6.0615706368294502</v>
      </c>
    </row>
    <row r="10" spans="1:3" x14ac:dyDescent="0.35">
      <c r="A10" t="s">
        <v>21</v>
      </c>
      <c r="B10" t="s">
        <v>13</v>
      </c>
      <c r="C10">
        <v>6.0230540827147401</v>
      </c>
    </row>
    <row r="11" spans="1:3" x14ac:dyDescent="0.35">
      <c r="A11" t="s">
        <v>22</v>
      </c>
      <c r="B11" t="s">
        <v>13</v>
      </c>
      <c r="C11">
        <v>6.0566078221008501</v>
      </c>
    </row>
    <row r="12" spans="1:3" x14ac:dyDescent="0.35">
      <c r="A12" t="s">
        <v>23</v>
      </c>
      <c r="B12" t="s">
        <v>13</v>
      </c>
      <c r="C12">
        <v>6.0884951852096698</v>
      </c>
    </row>
    <row r="13" spans="1:3" x14ac:dyDescent="0.35">
      <c r="A13" t="s">
        <v>24</v>
      </c>
      <c r="B13" t="s">
        <v>13</v>
      </c>
      <c r="C13">
        <v>6.2134286602424602</v>
      </c>
    </row>
    <row r="14" spans="1:3" x14ac:dyDescent="0.35">
      <c r="A14" t="s">
        <v>25</v>
      </c>
      <c r="B14" t="s">
        <v>13</v>
      </c>
      <c r="C14">
        <v>6.1896407685881396</v>
      </c>
    </row>
    <row r="15" spans="1:3" x14ac:dyDescent="0.35">
      <c r="A15" t="s">
        <v>26</v>
      </c>
      <c r="B15" t="s">
        <v>13</v>
      </c>
      <c r="C15">
        <v>6.0373842985945902</v>
      </c>
    </row>
    <row r="16" spans="1:3" x14ac:dyDescent="0.35">
      <c r="A16" t="s">
        <v>27</v>
      </c>
      <c r="B16" t="s">
        <v>13</v>
      </c>
      <c r="C16">
        <v>6.0699194534643404</v>
      </c>
    </row>
    <row r="17" spans="1:3" x14ac:dyDescent="0.35">
      <c r="A17" t="s">
        <v>28</v>
      </c>
      <c r="B17" t="s">
        <v>13</v>
      </c>
      <c r="C17">
        <v>6.0939605318070704</v>
      </c>
    </row>
    <row r="18" spans="1:3" x14ac:dyDescent="0.35">
      <c r="A18" t="s">
        <v>29</v>
      </c>
      <c r="B18" t="s">
        <v>13</v>
      </c>
      <c r="C18">
        <v>5.8510024429281398</v>
      </c>
    </row>
    <row r="19" spans="1:3" x14ac:dyDescent="0.35">
      <c r="A19" t="s">
        <v>30</v>
      </c>
      <c r="B19" t="s">
        <v>13</v>
      </c>
      <c r="C19">
        <v>6.3030446578528103</v>
      </c>
    </row>
    <row r="21" spans="1:3" x14ac:dyDescent="0.35">
      <c r="A21" s="3" t="s">
        <v>266</v>
      </c>
      <c r="B21" s="3"/>
      <c r="C21" s="5">
        <f>AVERAGE(C5:C7)</f>
        <v>6.1715671412532203</v>
      </c>
    </row>
    <row r="22" spans="1:3" x14ac:dyDescent="0.35">
      <c r="A22" s="3" t="s">
        <v>267</v>
      </c>
      <c r="B22" s="3"/>
      <c r="C22" s="5">
        <f>AVERAGE(C17:C19)</f>
        <v>6.0826692108626732</v>
      </c>
    </row>
    <row r="23" spans="1:3" x14ac:dyDescent="0.35">
      <c r="A23" s="3"/>
      <c r="B23" s="3"/>
      <c r="C23" s="5"/>
    </row>
    <row r="24" spans="1:3" x14ac:dyDescent="0.35">
      <c r="A24" s="3"/>
      <c r="B24" s="3"/>
      <c r="C24" s="4">
        <f>(C22-C21)/C21</f>
        <v>-1.4404433810063861E-2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0"/>
  <sheetViews>
    <sheetView topLeftCell="A89" workbookViewId="0">
      <selection activeCell="A111" sqref="A111"/>
    </sheetView>
  </sheetViews>
  <sheetFormatPr defaultColWidth="10.90625" defaultRowHeight="14.5" x14ac:dyDescent="0.35"/>
  <sheetData>
    <row r="1" spans="1:10" x14ac:dyDescent="0.35">
      <c r="A1" s="3" t="s">
        <v>8</v>
      </c>
      <c r="B1" s="3" t="s">
        <v>32</v>
      </c>
      <c r="C1" s="3" t="s">
        <v>33</v>
      </c>
      <c r="D1" s="3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5">
      <c r="A2" s="3" t="s">
        <v>65</v>
      </c>
      <c r="B2" s="3">
        <v>45.290135169958099</v>
      </c>
      <c r="C2" s="3">
        <v>34.627995563913402</v>
      </c>
      <c r="D2" s="3">
        <v>10.6621396060447</v>
      </c>
      <c r="E2">
        <v>9.4488422719176697</v>
      </c>
      <c r="F2">
        <v>9.9257796018564708</v>
      </c>
      <c r="G2">
        <v>0.48841045982736497</v>
      </c>
      <c r="H2">
        <v>10.3358779517594</v>
      </c>
      <c r="I2">
        <v>10.8919879498998</v>
      </c>
      <c r="J2">
        <v>0.55610999814043405</v>
      </c>
    </row>
    <row r="3" spans="1:10" x14ac:dyDescent="0.35">
      <c r="A3" s="3" t="s">
        <v>97</v>
      </c>
      <c r="B3" s="3">
        <v>14.872783779229801</v>
      </c>
      <c r="C3" s="3">
        <v>5.4767334575144098</v>
      </c>
      <c r="D3" s="3">
        <v>9.3960503217153697</v>
      </c>
      <c r="E3">
        <v>9.4488422719176697</v>
      </c>
      <c r="F3">
        <v>9.9257796018564708</v>
      </c>
      <c r="G3">
        <v>0.48841045982736497</v>
      </c>
      <c r="H3">
        <v>10.3358779517594</v>
      </c>
      <c r="I3">
        <v>10.8919879498998</v>
      </c>
      <c r="J3">
        <v>0.55610999814043405</v>
      </c>
    </row>
    <row r="4" spans="1:10" x14ac:dyDescent="0.35">
      <c r="A4" s="3" t="s">
        <v>107</v>
      </c>
      <c r="B4" s="3">
        <v>12.1368644452417</v>
      </c>
      <c r="C4" s="3">
        <v>4.4203078288795199</v>
      </c>
      <c r="D4" s="3">
        <v>7.7165566163621699</v>
      </c>
      <c r="E4">
        <v>9.4488422719176697</v>
      </c>
      <c r="F4">
        <v>9.9257796018564708</v>
      </c>
      <c r="G4">
        <v>0.48841045982736497</v>
      </c>
      <c r="H4">
        <v>10.3358779517594</v>
      </c>
      <c r="I4">
        <v>10.8919879498998</v>
      </c>
      <c r="J4">
        <v>0.55610999814043405</v>
      </c>
    </row>
    <row r="5" spans="1:10" x14ac:dyDescent="0.35">
      <c r="A5" s="3" t="s">
        <v>100</v>
      </c>
      <c r="B5" s="3">
        <v>37.207380217322601</v>
      </c>
      <c r="C5" s="3">
        <v>29.8335437952015</v>
      </c>
      <c r="D5" s="3">
        <v>7.3738364221211397</v>
      </c>
      <c r="E5">
        <v>9.4488422719176697</v>
      </c>
      <c r="F5">
        <v>9.9257796018564708</v>
      </c>
      <c r="G5">
        <v>0.48841045982736497</v>
      </c>
      <c r="H5">
        <v>10.3358779517594</v>
      </c>
      <c r="I5">
        <v>10.8919879498998</v>
      </c>
      <c r="J5">
        <v>0.55610999814043405</v>
      </c>
    </row>
    <row r="6" spans="1:10" x14ac:dyDescent="0.35">
      <c r="A6" s="3" t="s">
        <v>102</v>
      </c>
      <c r="B6" s="3">
        <v>18.823619986142099</v>
      </c>
      <c r="C6" s="3">
        <v>12.7836789087916</v>
      </c>
      <c r="D6" s="3">
        <v>6.0399410773505204</v>
      </c>
      <c r="E6">
        <v>9.4488422719176697</v>
      </c>
      <c r="F6">
        <v>9.9257796018564708</v>
      </c>
      <c r="G6">
        <v>0.48841045982736497</v>
      </c>
      <c r="H6">
        <v>10.3358779517594</v>
      </c>
      <c r="I6">
        <v>10.8919879498998</v>
      </c>
      <c r="J6">
        <v>0.55610999814043405</v>
      </c>
    </row>
    <row r="7" spans="1:10" x14ac:dyDescent="0.35">
      <c r="A7" s="3" t="s">
        <v>83</v>
      </c>
      <c r="B7" s="3">
        <v>9.2450375259825801</v>
      </c>
      <c r="C7" s="3">
        <v>4.0443532042313404</v>
      </c>
      <c r="D7" s="3">
        <v>5.2006843217512397</v>
      </c>
      <c r="E7">
        <v>9.4488422719176697</v>
      </c>
      <c r="F7">
        <v>9.9257796018564708</v>
      </c>
      <c r="G7">
        <v>0.48841045982736497</v>
      </c>
      <c r="H7">
        <v>10.3358779517594</v>
      </c>
      <c r="I7">
        <v>10.8919879498998</v>
      </c>
      <c r="J7">
        <v>0.55610999814043405</v>
      </c>
    </row>
    <row r="8" spans="1:10" x14ac:dyDescent="0.35">
      <c r="A8" s="3" t="s">
        <v>78</v>
      </c>
      <c r="B8" s="3">
        <v>8.4477058705670203</v>
      </c>
      <c r="C8" s="3">
        <v>3.50269970926208</v>
      </c>
      <c r="D8" s="3">
        <v>4.9450061613049403</v>
      </c>
      <c r="E8">
        <v>9.4488422719176697</v>
      </c>
      <c r="F8">
        <v>9.9257796018564708</v>
      </c>
      <c r="G8">
        <v>0.48841045982736497</v>
      </c>
      <c r="H8">
        <v>10.3358779517594</v>
      </c>
      <c r="I8">
        <v>10.8919879498998</v>
      </c>
      <c r="J8">
        <v>0.55610999814043405</v>
      </c>
    </row>
    <row r="9" spans="1:10" x14ac:dyDescent="0.35">
      <c r="A9" s="3" t="s">
        <v>56</v>
      </c>
      <c r="B9" s="3">
        <v>11.4780842157104</v>
      </c>
      <c r="C9" s="3">
        <v>6.6475778529146003</v>
      </c>
      <c r="D9" s="3">
        <v>4.8305063627958198</v>
      </c>
      <c r="E9">
        <v>9.4488422719176697</v>
      </c>
      <c r="F9">
        <v>9.9257796018564708</v>
      </c>
      <c r="G9">
        <v>0.48841045982736497</v>
      </c>
      <c r="H9">
        <v>10.3358779517594</v>
      </c>
      <c r="I9">
        <v>10.8919879498998</v>
      </c>
      <c r="J9">
        <v>0.55610999814043405</v>
      </c>
    </row>
    <row r="10" spans="1:10" x14ac:dyDescent="0.35">
      <c r="A10" s="3" t="s">
        <v>94</v>
      </c>
      <c r="B10" s="3">
        <v>17.274085042827799</v>
      </c>
      <c r="C10" s="3">
        <v>12.5881411274441</v>
      </c>
      <c r="D10" s="3">
        <v>4.6859439153836497</v>
      </c>
      <c r="E10">
        <v>9.4488422719176697</v>
      </c>
      <c r="F10">
        <v>9.9257796018564708</v>
      </c>
      <c r="G10">
        <v>0.48841045982736497</v>
      </c>
      <c r="H10">
        <v>10.3358779517594</v>
      </c>
      <c r="I10">
        <v>10.8919879498998</v>
      </c>
      <c r="J10">
        <v>0.55610999814043405</v>
      </c>
    </row>
    <row r="11" spans="1:10" x14ac:dyDescent="0.35">
      <c r="A11" s="3" t="s">
        <v>114</v>
      </c>
      <c r="B11" s="3">
        <v>24.7839133696468</v>
      </c>
      <c r="C11" s="3">
        <v>20.2924775048938</v>
      </c>
      <c r="D11" s="3">
        <v>4.4914358647529404</v>
      </c>
      <c r="E11">
        <v>9.4488422719176697</v>
      </c>
      <c r="F11">
        <v>9.9257796018564708</v>
      </c>
      <c r="G11">
        <v>0.48841045982736497</v>
      </c>
      <c r="H11">
        <v>10.3358779517594</v>
      </c>
      <c r="I11">
        <v>10.8919879498998</v>
      </c>
      <c r="J11">
        <v>0.55610999814043405</v>
      </c>
    </row>
    <row r="12" spans="1:10" x14ac:dyDescent="0.35">
      <c r="A12" s="3" t="s">
        <v>110</v>
      </c>
      <c r="B12" s="3">
        <v>7.5162312765196102</v>
      </c>
      <c r="C12" s="3">
        <v>3.4415492138953798</v>
      </c>
      <c r="D12" s="3">
        <v>4.0746820626242197</v>
      </c>
      <c r="E12">
        <v>9.4488422719176697</v>
      </c>
      <c r="F12">
        <v>9.9257796018564708</v>
      </c>
      <c r="G12">
        <v>0.48841045982736497</v>
      </c>
      <c r="H12">
        <v>10.3358779517594</v>
      </c>
      <c r="I12">
        <v>10.8919879498998</v>
      </c>
      <c r="J12">
        <v>0.55610999814043405</v>
      </c>
    </row>
    <row r="13" spans="1:10" x14ac:dyDescent="0.35">
      <c r="A13" s="3" t="s">
        <v>47</v>
      </c>
      <c r="B13" s="3">
        <v>13.9558350239519</v>
      </c>
      <c r="C13" s="3">
        <v>10.066906405728099</v>
      </c>
      <c r="D13" s="3">
        <v>3.8889286182237801</v>
      </c>
      <c r="E13">
        <v>9.4488422719176697</v>
      </c>
      <c r="F13">
        <v>9.9257796018564708</v>
      </c>
      <c r="G13">
        <v>0.48841045982736497</v>
      </c>
      <c r="H13">
        <v>10.3358779517594</v>
      </c>
      <c r="I13">
        <v>10.8919879498998</v>
      </c>
      <c r="J13">
        <v>0.55610999814043405</v>
      </c>
    </row>
    <row r="14" spans="1:10" x14ac:dyDescent="0.35">
      <c r="A14" s="3" t="s">
        <v>93</v>
      </c>
      <c r="B14" s="3">
        <v>12.3332816377171</v>
      </c>
      <c r="C14" s="3">
        <v>8.5209228003595303</v>
      </c>
      <c r="D14" s="3">
        <v>3.8123588373575901</v>
      </c>
      <c r="E14">
        <v>9.4488422719176697</v>
      </c>
      <c r="F14">
        <v>9.9257796018564708</v>
      </c>
      <c r="G14">
        <v>0.48841045982736497</v>
      </c>
      <c r="H14">
        <v>10.3358779517594</v>
      </c>
      <c r="I14">
        <v>10.8919879498998</v>
      </c>
      <c r="J14">
        <v>0.55610999814043405</v>
      </c>
    </row>
    <row r="15" spans="1:10" x14ac:dyDescent="0.35">
      <c r="A15" s="3" t="s">
        <v>52</v>
      </c>
      <c r="B15" s="3">
        <v>9.6408455855460495</v>
      </c>
      <c r="C15" s="3">
        <v>5.9189382216402802</v>
      </c>
      <c r="D15" s="3">
        <v>3.7219073639057698</v>
      </c>
      <c r="E15">
        <v>9.4488422719176697</v>
      </c>
      <c r="F15">
        <v>9.9257796018564708</v>
      </c>
      <c r="G15">
        <v>0.48841045982736497</v>
      </c>
      <c r="H15">
        <v>10.3358779517594</v>
      </c>
      <c r="I15">
        <v>10.8919879498998</v>
      </c>
      <c r="J15">
        <v>0.55610999814043405</v>
      </c>
    </row>
    <row r="16" spans="1:10" x14ac:dyDescent="0.35">
      <c r="A16" s="3" t="s">
        <v>49</v>
      </c>
      <c r="B16" s="3">
        <v>13.744434471956801</v>
      </c>
      <c r="C16" s="3">
        <v>10.214762993073901</v>
      </c>
      <c r="D16" s="3">
        <v>3.5296714788829302</v>
      </c>
      <c r="E16">
        <v>9.4488422719176697</v>
      </c>
      <c r="F16">
        <v>9.9257796018564708</v>
      </c>
      <c r="G16">
        <v>0.48841045982736497</v>
      </c>
      <c r="H16">
        <v>10.3358779517594</v>
      </c>
      <c r="I16">
        <v>10.8919879498998</v>
      </c>
      <c r="J16">
        <v>0.55610999814043405</v>
      </c>
    </row>
    <row r="17" spans="1:10" x14ac:dyDescent="0.35">
      <c r="A17" s="3" t="s">
        <v>54</v>
      </c>
      <c r="B17" s="3">
        <v>13.2847008432606</v>
      </c>
      <c r="C17" s="3">
        <v>9.7772895236192898</v>
      </c>
      <c r="D17" s="3">
        <v>3.5074113196413101</v>
      </c>
      <c r="E17">
        <v>9.4488422719176697</v>
      </c>
      <c r="F17">
        <v>9.9257796018564708</v>
      </c>
      <c r="G17">
        <v>0.48841045982736497</v>
      </c>
      <c r="H17">
        <v>10.3358779517594</v>
      </c>
      <c r="I17">
        <v>10.8919879498998</v>
      </c>
      <c r="J17">
        <v>0.55610999814043405</v>
      </c>
    </row>
    <row r="18" spans="1:10" x14ac:dyDescent="0.35">
      <c r="A18" s="3" t="s">
        <v>132</v>
      </c>
      <c r="B18" s="3">
        <v>23.410434602219699</v>
      </c>
      <c r="C18" s="3">
        <v>20.049818341957501</v>
      </c>
      <c r="D18" s="3">
        <v>3.3606162602621801</v>
      </c>
      <c r="E18">
        <v>9.4488422719176697</v>
      </c>
      <c r="F18">
        <v>9.9257796018564708</v>
      </c>
      <c r="G18">
        <v>0.48841045982736497</v>
      </c>
      <c r="H18">
        <v>10.3358779517594</v>
      </c>
      <c r="I18">
        <v>10.8919879498998</v>
      </c>
      <c r="J18">
        <v>0.55610999814043405</v>
      </c>
    </row>
    <row r="19" spans="1:10" x14ac:dyDescent="0.35">
      <c r="A19" s="3" t="s">
        <v>45</v>
      </c>
      <c r="B19" s="3">
        <v>5.9220223575910103</v>
      </c>
      <c r="C19" s="3">
        <v>2.5905088221361301</v>
      </c>
      <c r="D19" s="3">
        <v>3.3315135354548802</v>
      </c>
      <c r="E19">
        <v>9.4488422719176697</v>
      </c>
      <c r="F19">
        <v>9.9257796018564708</v>
      </c>
      <c r="G19">
        <v>0.48841045982736497</v>
      </c>
      <c r="H19">
        <v>10.3358779517594</v>
      </c>
      <c r="I19">
        <v>10.8919879498998</v>
      </c>
      <c r="J19">
        <v>0.55610999814043405</v>
      </c>
    </row>
    <row r="20" spans="1:10" x14ac:dyDescent="0.35">
      <c r="A20" s="3" t="s">
        <v>74</v>
      </c>
      <c r="B20" s="3">
        <v>16.263568261733699</v>
      </c>
      <c r="C20" s="3">
        <v>13.0546950581935</v>
      </c>
      <c r="D20" s="3">
        <v>3.2088732035401701</v>
      </c>
      <c r="E20">
        <v>9.4488422719176697</v>
      </c>
      <c r="F20">
        <v>9.9257796018564708</v>
      </c>
      <c r="G20">
        <v>0.48841045982736497</v>
      </c>
      <c r="H20">
        <v>10.3358779517594</v>
      </c>
      <c r="I20">
        <v>10.8919879498998</v>
      </c>
      <c r="J20">
        <v>0.55610999814043405</v>
      </c>
    </row>
    <row r="21" spans="1:10" x14ac:dyDescent="0.35">
      <c r="A21" s="3" t="s">
        <v>46</v>
      </c>
      <c r="B21" s="3">
        <v>10.1905659963597</v>
      </c>
      <c r="C21" s="3">
        <v>7.0330600605952602</v>
      </c>
      <c r="D21" s="3">
        <v>3.1575059357644699</v>
      </c>
      <c r="E21">
        <v>9.4488422719176697</v>
      </c>
      <c r="F21">
        <v>9.9257796018564708</v>
      </c>
      <c r="G21">
        <v>0.48841045982736497</v>
      </c>
      <c r="H21">
        <v>10.3358779517594</v>
      </c>
      <c r="I21">
        <v>10.8919879498998</v>
      </c>
      <c r="J21">
        <v>0.55610999814043405</v>
      </c>
    </row>
    <row r="22" spans="1:10" x14ac:dyDescent="0.35">
      <c r="A22" s="3" t="s">
        <v>104</v>
      </c>
      <c r="B22" s="3">
        <v>9.1460608342747207</v>
      </c>
      <c r="C22" s="3">
        <v>6.0783120308378997</v>
      </c>
      <c r="D22" s="3">
        <v>3.0677488034368201</v>
      </c>
      <c r="E22">
        <v>9.4488422719176697</v>
      </c>
      <c r="F22">
        <v>9.9257796018564708</v>
      </c>
      <c r="G22">
        <v>0.48841045982736497</v>
      </c>
      <c r="H22">
        <v>10.3358779517594</v>
      </c>
      <c r="I22">
        <v>10.8919879498998</v>
      </c>
      <c r="J22">
        <v>0.55610999814043405</v>
      </c>
    </row>
    <row r="23" spans="1:10" x14ac:dyDescent="0.35">
      <c r="A23" s="3" t="s">
        <v>75</v>
      </c>
      <c r="B23" s="3">
        <v>13.059374642952401</v>
      </c>
      <c r="C23" s="3">
        <v>10.243316883562301</v>
      </c>
      <c r="D23" s="3">
        <v>2.81605775939006</v>
      </c>
      <c r="E23">
        <v>9.4488422719176697</v>
      </c>
      <c r="F23">
        <v>9.9257796018564708</v>
      </c>
      <c r="G23">
        <v>0.48841045982736497</v>
      </c>
      <c r="H23">
        <v>10.3358779517594</v>
      </c>
      <c r="I23">
        <v>10.8919879498998</v>
      </c>
      <c r="J23">
        <v>0.55610999814043405</v>
      </c>
    </row>
    <row r="24" spans="1:10" x14ac:dyDescent="0.35">
      <c r="A24" s="3" t="s">
        <v>76</v>
      </c>
      <c r="B24" s="3">
        <v>7.0341733316781596</v>
      </c>
      <c r="C24" s="3">
        <v>4.2569444444444402</v>
      </c>
      <c r="D24" s="3">
        <v>2.7772288872337199</v>
      </c>
      <c r="E24">
        <v>9.4488422719176697</v>
      </c>
      <c r="F24">
        <v>9.9257796018564708</v>
      </c>
      <c r="G24">
        <v>0.48841045982736497</v>
      </c>
      <c r="H24">
        <v>10.3358779517594</v>
      </c>
      <c r="I24">
        <v>10.8919879498998</v>
      </c>
      <c r="J24">
        <v>0.55610999814043405</v>
      </c>
    </row>
    <row r="25" spans="1:10" x14ac:dyDescent="0.35">
      <c r="A25" s="3" t="s">
        <v>95</v>
      </c>
      <c r="B25" s="3">
        <v>12.5558001898721</v>
      </c>
      <c r="C25" s="3">
        <v>9.9977974009331003</v>
      </c>
      <c r="D25" s="3">
        <v>2.55800278893904</v>
      </c>
      <c r="E25">
        <v>9.4488422719176697</v>
      </c>
      <c r="F25">
        <v>9.9257796018564708</v>
      </c>
      <c r="G25">
        <v>0.48841045982736497</v>
      </c>
      <c r="H25">
        <v>10.3358779517594</v>
      </c>
      <c r="I25">
        <v>10.8919879498998</v>
      </c>
      <c r="J25">
        <v>0.55610999814043405</v>
      </c>
    </row>
    <row r="26" spans="1:10" x14ac:dyDescent="0.35">
      <c r="A26" s="3" t="s">
        <v>69</v>
      </c>
      <c r="B26" s="3">
        <v>12.645794966237</v>
      </c>
      <c r="C26" s="3">
        <v>10.088900177800401</v>
      </c>
      <c r="D26" s="3">
        <v>2.5568947884365998</v>
      </c>
      <c r="E26">
        <v>9.4488422719176697</v>
      </c>
      <c r="F26">
        <v>9.9257796018564708</v>
      </c>
      <c r="G26">
        <v>0.48841045982736497</v>
      </c>
      <c r="H26">
        <v>10.3358779517594</v>
      </c>
      <c r="I26">
        <v>10.8919879498998</v>
      </c>
      <c r="J26">
        <v>0.55610999814043405</v>
      </c>
    </row>
    <row r="27" spans="1:10" x14ac:dyDescent="0.35">
      <c r="A27" s="3" t="s">
        <v>140</v>
      </c>
      <c r="B27" s="3">
        <v>17.477388371843599</v>
      </c>
      <c r="C27" s="3">
        <v>15.1715926686778</v>
      </c>
      <c r="D27" s="3">
        <v>2.3057957031658298</v>
      </c>
      <c r="E27">
        <v>9.4488422719176697</v>
      </c>
      <c r="F27">
        <v>9.9257796018564708</v>
      </c>
      <c r="G27">
        <v>0.48841045982736497</v>
      </c>
      <c r="H27">
        <v>10.3358779517594</v>
      </c>
      <c r="I27">
        <v>10.8919879498998</v>
      </c>
      <c r="J27">
        <v>0.55610999814043405</v>
      </c>
    </row>
    <row r="28" spans="1:10" x14ac:dyDescent="0.35">
      <c r="A28" s="3" t="s">
        <v>103</v>
      </c>
      <c r="B28" s="3">
        <v>10.175635015044399</v>
      </c>
      <c r="C28" s="3">
        <v>8.0553559097507001</v>
      </c>
      <c r="D28" s="3">
        <v>2.1202791052937302</v>
      </c>
      <c r="E28">
        <v>9.4488422719176697</v>
      </c>
      <c r="F28">
        <v>9.9257796018564708</v>
      </c>
      <c r="G28">
        <v>0.48841045982736497</v>
      </c>
      <c r="H28">
        <v>10.3358779517594</v>
      </c>
      <c r="I28">
        <v>10.8919879498998</v>
      </c>
      <c r="J28">
        <v>0.55610999814043405</v>
      </c>
    </row>
    <row r="29" spans="1:10" x14ac:dyDescent="0.35">
      <c r="A29" s="3" t="s">
        <v>72</v>
      </c>
      <c r="B29" s="3">
        <v>16.356418853817399</v>
      </c>
      <c r="C29" s="3">
        <v>14.281560173697301</v>
      </c>
      <c r="D29" s="3">
        <v>2.0748586801201299</v>
      </c>
      <c r="E29">
        <v>9.4488422719176697</v>
      </c>
      <c r="F29">
        <v>9.9257796018564708</v>
      </c>
      <c r="G29">
        <v>0.48841045982736497</v>
      </c>
      <c r="H29">
        <v>10.3358779517594</v>
      </c>
      <c r="I29">
        <v>10.8919879498998</v>
      </c>
      <c r="J29">
        <v>0.55610999814043405</v>
      </c>
    </row>
    <row r="30" spans="1:10" x14ac:dyDescent="0.35">
      <c r="A30" s="3" t="s">
        <v>70</v>
      </c>
      <c r="B30" s="3">
        <v>20.237749748855901</v>
      </c>
      <c r="C30" s="3">
        <v>18.166440769856301</v>
      </c>
      <c r="D30" s="3">
        <v>2.0713089789995598</v>
      </c>
      <c r="E30">
        <v>9.4488422719176697</v>
      </c>
      <c r="F30">
        <v>9.9257796018564708</v>
      </c>
      <c r="G30">
        <v>0.48841045982736497</v>
      </c>
      <c r="H30">
        <v>10.3358779517594</v>
      </c>
      <c r="I30">
        <v>10.8919879498998</v>
      </c>
      <c r="J30">
        <v>0.55610999814043405</v>
      </c>
    </row>
    <row r="31" spans="1:10" x14ac:dyDescent="0.35">
      <c r="A31" s="3" t="s">
        <v>116</v>
      </c>
      <c r="B31" s="3">
        <v>19.283961835529301</v>
      </c>
      <c r="C31" s="3">
        <v>17.308872672713601</v>
      </c>
      <c r="D31" s="3">
        <v>1.9750891628156699</v>
      </c>
      <c r="E31">
        <v>9.4488422719176697</v>
      </c>
      <c r="F31">
        <v>9.9257796018564708</v>
      </c>
      <c r="G31">
        <v>0.48841045982736497</v>
      </c>
      <c r="H31">
        <v>10.3358779517594</v>
      </c>
      <c r="I31">
        <v>10.8919879498998</v>
      </c>
      <c r="J31">
        <v>0.55610999814043405</v>
      </c>
    </row>
    <row r="32" spans="1:10" x14ac:dyDescent="0.35">
      <c r="A32" s="3" t="s">
        <v>135</v>
      </c>
      <c r="B32" s="3">
        <v>8.9986504009103196</v>
      </c>
      <c r="C32" s="3">
        <v>7.0676523297490998</v>
      </c>
      <c r="D32" s="3">
        <v>1.93099807116121</v>
      </c>
      <c r="E32">
        <v>9.4488422719176697</v>
      </c>
      <c r="F32">
        <v>9.9257796018564708</v>
      </c>
      <c r="G32">
        <v>0.48841045982736497</v>
      </c>
      <c r="H32">
        <v>10.3358779517594</v>
      </c>
      <c r="I32">
        <v>10.8919879498998</v>
      </c>
      <c r="J32">
        <v>0.55610999814043405</v>
      </c>
    </row>
    <row r="33" spans="1:10" x14ac:dyDescent="0.35">
      <c r="A33" s="3" t="s">
        <v>109</v>
      </c>
      <c r="B33" s="3">
        <v>4.2745347832021503</v>
      </c>
      <c r="C33" s="3">
        <v>2.3475605123607801</v>
      </c>
      <c r="D33" s="3">
        <v>1.92697427084137</v>
      </c>
      <c r="E33">
        <v>9.4488422719176697</v>
      </c>
      <c r="F33">
        <v>9.9257796018564708</v>
      </c>
      <c r="G33">
        <v>0.48841045982736497</v>
      </c>
      <c r="H33">
        <v>10.3358779517594</v>
      </c>
      <c r="I33">
        <v>10.8919879498998</v>
      </c>
      <c r="J33">
        <v>0.55610999814043405</v>
      </c>
    </row>
    <row r="34" spans="1:10" x14ac:dyDescent="0.35">
      <c r="A34" s="3" t="s">
        <v>60</v>
      </c>
      <c r="B34" s="3">
        <v>12.8795066413662</v>
      </c>
      <c r="C34" s="3">
        <v>11.0120330811743</v>
      </c>
      <c r="D34" s="3">
        <v>1.8674735601919199</v>
      </c>
      <c r="E34">
        <v>9.4488422719176697</v>
      </c>
      <c r="F34">
        <v>9.9257796018564708</v>
      </c>
      <c r="G34">
        <v>0.48841045982736497</v>
      </c>
      <c r="H34">
        <v>10.3358779517594</v>
      </c>
      <c r="I34">
        <v>10.8919879498998</v>
      </c>
      <c r="J34">
        <v>0.55610999814043405</v>
      </c>
    </row>
    <row r="35" spans="1:10" x14ac:dyDescent="0.35">
      <c r="A35" s="3" t="s">
        <v>122</v>
      </c>
      <c r="B35" s="3">
        <v>11.965232857279</v>
      </c>
      <c r="C35" s="3">
        <v>10.1064108063993</v>
      </c>
      <c r="D35" s="3">
        <v>1.85882205087968</v>
      </c>
      <c r="E35">
        <v>9.4488422719176697</v>
      </c>
      <c r="F35">
        <v>9.9257796018564708</v>
      </c>
      <c r="G35">
        <v>0.48841045982736497</v>
      </c>
      <c r="H35">
        <v>10.3358779517594</v>
      </c>
      <c r="I35">
        <v>10.8919879498998</v>
      </c>
      <c r="J35">
        <v>0.55610999814043405</v>
      </c>
    </row>
    <row r="36" spans="1:10" x14ac:dyDescent="0.35">
      <c r="A36" s="3" t="s">
        <v>112</v>
      </c>
      <c r="B36" s="3">
        <v>11.0528204695153</v>
      </c>
      <c r="C36" s="3">
        <v>9.2857303649010596</v>
      </c>
      <c r="D36" s="3">
        <v>1.76709010461422</v>
      </c>
      <c r="E36">
        <v>9.4488422719176697</v>
      </c>
      <c r="F36">
        <v>9.9257796018564708</v>
      </c>
      <c r="G36">
        <v>0.48841045982736497</v>
      </c>
      <c r="H36">
        <v>10.3358779517594</v>
      </c>
      <c r="I36">
        <v>10.8919879498998</v>
      </c>
      <c r="J36">
        <v>0.55610999814043405</v>
      </c>
    </row>
    <row r="37" spans="1:10" x14ac:dyDescent="0.35">
      <c r="A37" s="3" t="s">
        <v>64</v>
      </c>
      <c r="B37" s="3">
        <v>6.1759867525138601</v>
      </c>
      <c r="C37" s="3">
        <v>4.4972191323692998</v>
      </c>
      <c r="D37" s="3">
        <v>1.67876762014456</v>
      </c>
      <c r="E37">
        <v>9.4488422719176697</v>
      </c>
      <c r="F37">
        <v>9.9257796018564708</v>
      </c>
      <c r="G37">
        <v>0.48841045982736497</v>
      </c>
      <c r="H37">
        <v>10.3358779517594</v>
      </c>
      <c r="I37">
        <v>10.8919879498998</v>
      </c>
      <c r="J37">
        <v>0.55610999814043405</v>
      </c>
    </row>
    <row r="38" spans="1:10" x14ac:dyDescent="0.35">
      <c r="A38" s="3" t="s">
        <v>71</v>
      </c>
      <c r="B38" s="3">
        <v>10.7603755273045</v>
      </c>
      <c r="C38" s="3">
        <v>9.1088350722695495</v>
      </c>
      <c r="D38" s="3">
        <v>1.6515404550349799</v>
      </c>
      <c r="E38">
        <v>9.4488422719176697</v>
      </c>
      <c r="F38">
        <v>9.9257796018564708</v>
      </c>
      <c r="G38">
        <v>0.48841045982736497</v>
      </c>
      <c r="H38">
        <v>10.3358779517594</v>
      </c>
      <c r="I38">
        <v>10.8919879498998</v>
      </c>
      <c r="J38">
        <v>0.55610999814043405</v>
      </c>
    </row>
    <row r="39" spans="1:10" x14ac:dyDescent="0.35">
      <c r="A39" s="3" t="s">
        <v>84</v>
      </c>
      <c r="B39" s="3">
        <v>10.304037852872501</v>
      </c>
      <c r="C39" s="3">
        <v>8.6884048768097593</v>
      </c>
      <c r="D39" s="3">
        <v>1.6156329760627799</v>
      </c>
      <c r="E39">
        <v>9.4488422719176697</v>
      </c>
      <c r="F39">
        <v>9.9257796018564708</v>
      </c>
      <c r="G39">
        <v>0.48841045982736497</v>
      </c>
      <c r="H39">
        <v>10.3358779517594</v>
      </c>
      <c r="I39">
        <v>10.8919879498998</v>
      </c>
      <c r="J39">
        <v>0.55610999814043405</v>
      </c>
    </row>
    <row r="40" spans="1:10" x14ac:dyDescent="0.35">
      <c r="A40" s="3" t="s">
        <v>50</v>
      </c>
      <c r="B40" s="3">
        <v>5.9198755348113599</v>
      </c>
      <c r="C40" s="3">
        <v>4.3098632217891</v>
      </c>
      <c r="D40" s="3">
        <v>1.6100123130222601</v>
      </c>
      <c r="E40">
        <v>9.4488422719176697</v>
      </c>
      <c r="F40">
        <v>9.9257796018564708</v>
      </c>
      <c r="G40">
        <v>0.48841045982736497</v>
      </c>
      <c r="H40">
        <v>10.3358779517594</v>
      </c>
      <c r="I40">
        <v>10.8919879498998</v>
      </c>
      <c r="J40">
        <v>0.55610999814043405</v>
      </c>
    </row>
    <row r="41" spans="1:10" x14ac:dyDescent="0.35">
      <c r="A41" s="3" t="s">
        <v>131</v>
      </c>
      <c r="B41" s="3">
        <v>6.7625187177990398</v>
      </c>
      <c r="C41" s="3">
        <v>5.4136217856018103</v>
      </c>
      <c r="D41" s="3">
        <v>1.3488969321972299</v>
      </c>
      <c r="E41">
        <v>9.4488422719176697</v>
      </c>
      <c r="F41">
        <v>9.9257796018564708</v>
      </c>
      <c r="G41">
        <v>0.48841045982736497</v>
      </c>
      <c r="H41">
        <v>10.3358779517594</v>
      </c>
      <c r="I41">
        <v>10.8919879498998</v>
      </c>
      <c r="J41">
        <v>0.55610999814043405</v>
      </c>
    </row>
    <row r="42" spans="1:10" x14ac:dyDescent="0.35">
      <c r="A42" s="3" t="s">
        <v>44</v>
      </c>
      <c r="B42" s="3">
        <v>17.319555223763299</v>
      </c>
      <c r="C42" s="3">
        <v>16.1329001315077</v>
      </c>
      <c r="D42" s="3">
        <v>1.1866550922556101</v>
      </c>
      <c r="E42">
        <v>9.4488422719176697</v>
      </c>
      <c r="F42">
        <v>9.9257796018564708</v>
      </c>
      <c r="G42">
        <v>0.48841045982736497</v>
      </c>
      <c r="H42">
        <v>10.3358779517594</v>
      </c>
      <c r="I42">
        <v>10.8919879498998</v>
      </c>
      <c r="J42">
        <v>0.55610999814043405</v>
      </c>
    </row>
    <row r="43" spans="1:10" x14ac:dyDescent="0.35">
      <c r="A43" s="3" t="s">
        <v>120</v>
      </c>
      <c r="B43" s="3">
        <v>9.4568513923352597</v>
      </c>
      <c r="C43" s="3">
        <v>8.2964299955925895</v>
      </c>
      <c r="D43" s="3">
        <v>1.16042139674268</v>
      </c>
      <c r="E43">
        <v>9.4488422719176697</v>
      </c>
      <c r="F43">
        <v>9.9257796018564708</v>
      </c>
      <c r="G43">
        <v>0.48841045982736497</v>
      </c>
      <c r="H43">
        <v>10.3358779517594</v>
      </c>
      <c r="I43">
        <v>10.8919879498998</v>
      </c>
      <c r="J43">
        <v>0.55610999814043405</v>
      </c>
    </row>
    <row r="44" spans="1:10" x14ac:dyDescent="0.35">
      <c r="A44" s="3" t="s">
        <v>129</v>
      </c>
      <c r="B44" s="3">
        <v>15.305668837820599</v>
      </c>
      <c r="C44" s="3">
        <v>14.1822229165039</v>
      </c>
      <c r="D44" s="3">
        <v>1.1234459213166601</v>
      </c>
      <c r="E44">
        <v>9.4488422719176697</v>
      </c>
      <c r="F44">
        <v>9.9257796018564708</v>
      </c>
      <c r="G44">
        <v>0.48841045982736497</v>
      </c>
      <c r="H44">
        <v>10.3358779517594</v>
      </c>
      <c r="I44">
        <v>10.8919879498998</v>
      </c>
      <c r="J44">
        <v>0.55610999814043405</v>
      </c>
    </row>
    <row r="45" spans="1:10" x14ac:dyDescent="0.35">
      <c r="A45" s="3" t="s">
        <v>96</v>
      </c>
      <c r="B45" s="3">
        <v>6.32092638544251</v>
      </c>
      <c r="C45" s="3">
        <v>5.2279174088000504</v>
      </c>
      <c r="D45" s="3">
        <v>1.09300897664246</v>
      </c>
      <c r="E45">
        <v>9.4488422719176697</v>
      </c>
      <c r="F45">
        <v>9.9257796018564708</v>
      </c>
      <c r="G45">
        <v>0.48841045982736497</v>
      </c>
      <c r="H45">
        <v>10.3358779517594</v>
      </c>
      <c r="I45">
        <v>10.8919879498998</v>
      </c>
      <c r="J45">
        <v>0.55610999814043405</v>
      </c>
    </row>
    <row r="46" spans="1:10" x14ac:dyDescent="0.35">
      <c r="A46" s="3" t="s">
        <v>115</v>
      </c>
      <c r="B46" s="3">
        <v>7.8370628001520197</v>
      </c>
      <c r="C46" s="3">
        <v>6.8177425040080903</v>
      </c>
      <c r="D46" s="3">
        <v>1.0193202961439201</v>
      </c>
      <c r="E46">
        <v>9.4488422719176697</v>
      </c>
      <c r="F46">
        <v>9.9257796018564708</v>
      </c>
      <c r="G46">
        <v>0.48841045982736497</v>
      </c>
      <c r="H46">
        <v>10.3358779517594</v>
      </c>
      <c r="I46">
        <v>10.8919879498998</v>
      </c>
      <c r="J46">
        <v>0.55610999814043405</v>
      </c>
    </row>
    <row r="47" spans="1:10" x14ac:dyDescent="0.35">
      <c r="A47" s="3" t="s">
        <v>81</v>
      </c>
      <c r="B47" s="3">
        <v>9.39247311827957</v>
      </c>
      <c r="C47" s="3">
        <v>8.4259484095111805</v>
      </c>
      <c r="D47" s="3">
        <v>0.96652470876838903</v>
      </c>
      <c r="E47">
        <v>9.4488422719176697</v>
      </c>
      <c r="F47">
        <v>9.9257796018564708</v>
      </c>
      <c r="G47">
        <v>0.48841045982736497</v>
      </c>
      <c r="H47">
        <v>10.3358779517594</v>
      </c>
      <c r="I47">
        <v>10.8919879498998</v>
      </c>
      <c r="J47">
        <v>0.55610999814043405</v>
      </c>
    </row>
    <row r="48" spans="1:10" x14ac:dyDescent="0.35">
      <c r="A48" s="3" t="s">
        <v>126</v>
      </c>
      <c r="B48" s="3">
        <v>8.1532398154547305</v>
      </c>
      <c r="C48" s="3">
        <v>7.2216558654336298</v>
      </c>
      <c r="D48" s="3">
        <v>0.93158395002110606</v>
      </c>
      <c r="E48">
        <v>9.4488422719176697</v>
      </c>
      <c r="F48">
        <v>9.9257796018564708</v>
      </c>
      <c r="G48">
        <v>0.48841045982736497</v>
      </c>
      <c r="H48">
        <v>10.3358779517594</v>
      </c>
      <c r="I48">
        <v>10.8919879498998</v>
      </c>
      <c r="J48">
        <v>0.55610999814043405</v>
      </c>
    </row>
    <row r="49" spans="1:10" x14ac:dyDescent="0.35">
      <c r="A49" s="3" t="s">
        <v>87</v>
      </c>
      <c r="B49" s="3">
        <v>12.675364131891699</v>
      </c>
      <c r="C49" s="3">
        <v>11.808457295671101</v>
      </c>
      <c r="D49" s="3">
        <v>0.86690683622063103</v>
      </c>
      <c r="E49">
        <v>9.4488422719176697</v>
      </c>
      <c r="F49">
        <v>9.9257796018564708</v>
      </c>
      <c r="G49">
        <v>0.48841045982736497</v>
      </c>
      <c r="H49">
        <v>10.3358779517594</v>
      </c>
      <c r="I49">
        <v>10.8919879498998</v>
      </c>
      <c r="J49">
        <v>0.55610999814043405</v>
      </c>
    </row>
    <row r="50" spans="1:10" x14ac:dyDescent="0.35">
      <c r="A50" s="3" t="s">
        <v>111</v>
      </c>
      <c r="B50" s="3">
        <v>11.4946706324776</v>
      </c>
      <c r="C50" s="3">
        <v>10.758387914563301</v>
      </c>
      <c r="D50" s="3">
        <v>0.73628271791428002</v>
      </c>
      <c r="E50">
        <v>9.4488422719176697</v>
      </c>
      <c r="F50">
        <v>9.9257796018564708</v>
      </c>
      <c r="G50">
        <v>0.48841045982736497</v>
      </c>
      <c r="H50">
        <v>10.3358779517594</v>
      </c>
      <c r="I50">
        <v>10.8919879498998</v>
      </c>
      <c r="J50">
        <v>0.55610999814043405</v>
      </c>
    </row>
    <row r="51" spans="1:10" x14ac:dyDescent="0.35">
      <c r="A51" s="3" t="s">
        <v>66</v>
      </c>
      <c r="B51" s="3">
        <v>10.0974819076319</v>
      </c>
      <c r="C51" s="3">
        <v>9.3645023238691305</v>
      </c>
      <c r="D51" s="3">
        <v>0.73297958376277195</v>
      </c>
      <c r="E51">
        <v>9.4488422719176697</v>
      </c>
      <c r="F51">
        <v>9.9257796018564708</v>
      </c>
      <c r="G51">
        <v>0.48841045982736497</v>
      </c>
      <c r="H51">
        <v>10.3358779517594</v>
      </c>
      <c r="I51">
        <v>10.8919879498998</v>
      </c>
      <c r="J51">
        <v>0.55610999814043405</v>
      </c>
    </row>
    <row r="52" spans="1:10" x14ac:dyDescent="0.35">
      <c r="A52" s="3" t="s">
        <v>101</v>
      </c>
      <c r="B52" s="3">
        <v>3.6923304052557802</v>
      </c>
      <c r="C52" s="3">
        <v>2.9678591842417701</v>
      </c>
      <c r="D52" s="3">
        <v>0.72447122101400896</v>
      </c>
      <c r="E52">
        <v>9.4488422719176697</v>
      </c>
      <c r="F52">
        <v>9.9257796018564708</v>
      </c>
      <c r="G52">
        <v>0.48841045982736497</v>
      </c>
      <c r="H52">
        <v>10.3358779517594</v>
      </c>
      <c r="I52">
        <v>10.8919879498998</v>
      </c>
      <c r="J52">
        <v>0.55610999814043405</v>
      </c>
    </row>
    <row r="53" spans="1:10" x14ac:dyDescent="0.35">
      <c r="A53" s="3" t="s">
        <v>85</v>
      </c>
      <c r="B53" s="3">
        <v>8.6439778825161699</v>
      </c>
      <c r="C53" s="3">
        <v>7.9274596655632603</v>
      </c>
      <c r="D53" s="3">
        <v>0.71651821695291096</v>
      </c>
      <c r="E53">
        <v>9.4488422719176697</v>
      </c>
      <c r="F53">
        <v>9.9257796018564708</v>
      </c>
      <c r="G53">
        <v>0.48841045982736497</v>
      </c>
      <c r="H53">
        <v>10.3358779517594</v>
      </c>
      <c r="I53">
        <v>10.8919879498998</v>
      </c>
      <c r="J53">
        <v>0.55610999814043405</v>
      </c>
    </row>
    <row r="54" spans="1:10" x14ac:dyDescent="0.35">
      <c r="A54" s="3" t="s">
        <v>106</v>
      </c>
      <c r="B54" s="3">
        <v>11.1177965789506</v>
      </c>
      <c r="C54" s="3">
        <v>10.4858812977453</v>
      </c>
      <c r="D54" s="3">
        <v>0.63191528120526097</v>
      </c>
      <c r="E54">
        <v>9.4488422719176697</v>
      </c>
      <c r="F54">
        <v>9.9257796018564708</v>
      </c>
      <c r="G54">
        <v>0.48841045982736497</v>
      </c>
      <c r="H54">
        <v>10.3358779517594</v>
      </c>
      <c r="I54">
        <v>10.8919879498998</v>
      </c>
      <c r="J54">
        <v>0.55610999814043405</v>
      </c>
    </row>
    <row r="55" spans="1:10" x14ac:dyDescent="0.35">
      <c r="A55" s="3" t="s">
        <v>58</v>
      </c>
      <c r="B55" s="3">
        <v>6.1573909961006699</v>
      </c>
      <c r="C55" s="3">
        <v>5.6689805362733097</v>
      </c>
      <c r="D55" s="3">
        <v>0.48841045982736497</v>
      </c>
      <c r="E55">
        <v>9.4488422719176697</v>
      </c>
      <c r="F55">
        <v>9.9257796018564708</v>
      </c>
      <c r="G55">
        <v>0.48841045982736497</v>
      </c>
      <c r="H55">
        <v>10.3358779517594</v>
      </c>
      <c r="I55">
        <v>10.8919879498998</v>
      </c>
      <c r="J55">
        <v>0.55610999814043405</v>
      </c>
    </row>
    <row r="56" spans="1:10" x14ac:dyDescent="0.35">
      <c r="A56" s="3" t="s">
        <v>86</v>
      </c>
      <c r="B56" s="3">
        <v>11.0652663165791</v>
      </c>
      <c r="C56" s="3">
        <v>10.5864920606315</v>
      </c>
      <c r="D56" s="3">
        <v>0.47877425594759998</v>
      </c>
      <c r="E56">
        <v>9.4488422719176697</v>
      </c>
      <c r="F56">
        <v>9.9257796018564708</v>
      </c>
      <c r="G56">
        <v>0.48841045982736497</v>
      </c>
      <c r="H56">
        <v>10.3358779517594</v>
      </c>
      <c r="I56">
        <v>10.8919879498998</v>
      </c>
      <c r="J56">
        <v>0.55610999814043405</v>
      </c>
    </row>
    <row r="57" spans="1:10" x14ac:dyDescent="0.35">
      <c r="A57" s="3" t="s">
        <v>42</v>
      </c>
      <c r="B57" s="3">
        <v>9.9257796018564708</v>
      </c>
      <c r="C57" s="3">
        <v>9.4488422719176697</v>
      </c>
      <c r="D57" s="3">
        <v>0.47693732993879601</v>
      </c>
      <c r="E57">
        <v>9.4488422719176697</v>
      </c>
      <c r="F57">
        <v>9.9257796018564708</v>
      </c>
      <c r="G57">
        <v>0.48841045982736497</v>
      </c>
      <c r="H57">
        <v>10.3358779517594</v>
      </c>
      <c r="I57">
        <v>10.8919879498998</v>
      </c>
      <c r="J57">
        <v>0.55610999814043405</v>
      </c>
    </row>
    <row r="58" spans="1:10" x14ac:dyDescent="0.35">
      <c r="A58" s="3" t="s">
        <v>80</v>
      </c>
      <c r="B58" s="3">
        <v>4.6152073732718897</v>
      </c>
      <c r="C58" s="3">
        <v>4.1560243433292303</v>
      </c>
      <c r="D58" s="3">
        <v>0.45918302994265597</v>
      </c>
      <c r="E58">
        <v>9.4488422719176697</v>
      </c>
      <c r="F58">
        <v>9.9257796018564708</v>
      </c>
      <c r="G58">
        <v>0.48841045982736497</v>
      </c>
      <c r="H58">
        <v>10.3358779517594</v>
      </c>
      <c r="I58">
        <v>10.8919879498998</v>
      </c>
      <c r="J58">
        <v>0.55610999814043405</v>
      </c>
    </row>
    <row r="59" spans="1:10" x14ac:dyDescent="0.35">
      <c r="A59" s="3" t="s">
        <v>134</v>
      </c>
      <c r="B59" s="3">
        <v>11.7599984756969</v>
      </c>
      <c r="C59" s="3">
        <v>11.4286217649442</v>
      </c>
      <c r="D59" s="3">
        <v>0.33137671075265401</v>
      </c>
      <c r="E59">
        <v>9.4488422719176697</v>
      </c>
      <c r="F59">
        <v>9.9257796018564708</v>
      </c>
      <c r="G59">
        <v>0.48841045982736497</v>
      </c>
      <c r="H59">
        <v>10.3358779517594</v>
      </c>
      <c r="I59">
        <v>10.8919879498998</v>
      </c>
      <c r="J59">
        <v>0.55610999814043405</v>
      </c>
    </row>
    <row r="60" spans="1:10" x14ac:dyDescent="0.35">
      <c r="A60" s="3" t="s">
        <v>121</v>
      </c>
      <c r="B60" s="3">
        <v>7.20464322039434</v>
      </c>
      <c r="C60" s="3">
        <v>6.9097817179468102</v>
      </c>
      <c r="D60" s="3">
        <v>0.29486150244753101</v>
      </c>
      <c r="E60">
        <v>9.4488422719176697</v>
      </c>
      <c r="F60">
        <v>9.9257796018564708</v>
      </c>
      <c r="G60">
        <v>0.48841045982736497</v>
      </c>
      <c r="H60">
        <v>10.3358779517594</v>
      </c>
      <c r="I60">
        <v>10.8919879498998</v>
      </c>
      <c r="J60">
        <v>0.55610999814043405</v>
      </c>
    </row>
    <row r="61" spans="1:10" x14ac:dyDescent="0.35">
      <c r="A61" s="3" t="s">
        <v>77</v>
      </c>
      <c r="B61" s="3">
        <v>8.7736566596572896</v>
      </c>
      <c r="C61" s="3">
        <v>8.5638285881742995</v>
      </c>
      <c r="D61" s="3">
        <v>0.20982807148298999</v>
      </c>
      <c r="E61">
        <v>9.4488422719176697</v>
      </c>
      <c r="F61">
        <v>9.9257796018564708</v>
      </c>
      <c r="G61">
        <v>0.48841045982736497</v>
      </c>
      <c r="H61">
        <v>10.3358779517594</v>
      </c>
      <c r="I61">
        <v>10.8919879498998</v>
      </c>
      <c r="J61">
        <v>0.55610999814043405</v>
      </c>
    </row>
    <row r="62" spans="1:10" x14ac:dyDescent="0.35">
      <c r="A62" s="3" t="s">
        <v>57</v>
      </c>
      <c r="B62" s="3">
        <v>6.1280517697813499</v>
      </c>
      <c r="C62" s="3">
        <v>5.9845855451204599</v>
      </c>
      <c r="D62" s="3">
        <v>0.14346622466089401</v>
      </c>
      <c r="E62">
        <v>9.4488422719176697</v>
      </c>
      <c r="F62">
        <v>9.9257796018564708</v>
      </c>
      <c r="G62">
        <v>0.48841045982736497</v>
      </c>
      <c r="H62">
        <v>10.3358779517594</v>
      </c>
      <c r="I62">
        <v>10.8919879498998</v>
      </c>
      <c r="J62">
        <v>0.55610999814043405</v>
      </c>
    </row>
    <row r="63" spans="1:10" x14ac:dyDescent="0.35">
      <c r="A63" s="3" t="s">
        <v>67</v>
      </c>
      <c r="B63" s="3">
        <v>6.4475680048538804</v>
      </c>
      <c r="C63" s="3">
        <v>6.3122515063327498</v>
      </c>
      <c r="D63" s="3">
        <v>0.13531649852113101</v>
      </c>
      <c r="E63">
        <v>9.4488422719176697</v>
      </c>
      <c r="F63">
        <v>9.9257796018564708</v>
      </c>
      <c r="G63">
        <v>0.48841045982736497</v>
      </c>
      <c r="H63">
        <v>10.3358779517594</v>
      </c>
      <c r="I63">
        <v>10.8919879498998</v>
      </c>
      <c r="J63">
        <v>0.55610999814043405</v>
      </c>
    </row>
    <row r="64" spans="1:10" x14ac:dyDescent="0.35">
      <c r="A64" s="3" t="s">
        <v>137</v>
      </c>
      <c r="B64" s="3">
        <v>13.7043366801965</v>
      </c>
      <c r="C64" s="3">
        <v>13.570386666347799</v>
      </c>
      <c r="D64" s="3">
        <v>0.133950013848708</v>
      </c>
      <c r="E64">
        <v>9.4488422719176697</v>
      </c>
      <c r="F64">
        <v>9.9257796018564708</v>
      </c>
      <c r="G64">
        <v>0.48841045982736497</v>
      </c>
      <c r="H64">
        <v>10.3358779517594</v>
      </c>
      <c r="I64">
        <v>10.8919879498998</v>
      </c>
      <c r="J64">
        <v>0.55610999814043405</v>
      </c>
    </row>
    <row r="65" spans="1:10" x14ac:dyDescent="0.35">
      <c r="A65" s="3" t="s">
        <v>73</v>
      </c>
      <c r="B65" s="3">
        <v>9.7100107403429501</v>
      </c>
      <c r="C65" s="3">
        <v>9.6001901027743095</v>
      </c>
      <c r="D65" s="3">
        <v>0.109820637568637</v>
      </c>
      <c r="E65">
        <v>9.4488422719176697</v>
      </c>
      <c r="F65">
        <v>9.9257796018564708</v>
      </c>
      <c r="G65">
        <v>0.48841045982736497</v>
      </c>
      <c r="H65">
        <v>10.3358779517594</v>
      </c>
      <c r="I65">
        <v>10.8919879498998</v>
      </c>
      <c r="J65">
        <v>0.55610999814043405</v>
      </c>
    </row>
    <row r="66" spans="1:10" x14ac:dyDescent="0.35">
      <c r="A66" s="3" t="s">
        <v>123</v>
      </c>
      <c r="B66" s="3">
        <v>5.40693952971582</v>
      </c>
      <c r="C66" s="3">
        <v>5.3454085668549798</v>
      </c>
      <c r="D66" s="3">
        <v>6.15309628608465E-2</v>
      </c>
      <c r="E66">
        <v>9.4488422719176697</v>
      </c>
      <c r="F66">
        <v>9.9257796018564708</v>
      </c>
      <c r="G66">
        <v>0.48841045982736497</v>
      </c>
      <c r="H66">
        <v>10.3358779517594</v>
      </c>
      <c r="I66">
        <v>10.8919879498998</v>
      </c>
      <c r="J66">
        <v>0.55610999814043405</v>
      </c>
    </row>
    <row r="67" spans="1:10" x14ac:dyDescent="0.35">
      <c r="A67" s="3" t="s">
        <v>88</v>
      </c>
      <c r="B67" s="3">
        <v>7.6606282112399997</v>
      </c>
      <c r="C67" s="3">
        <v>7.64510951172785</v>
      </c>
      <c r="D67" s="3">
        <v>1.55186995121515E-2</v>
      </c>
      <c r="E67">
        <v>9.4488422719176697</v>
      </c>
      <c r="F67">
        <v>9.9257796018564708</v>
      </c>
      <c r="G67">
        <v>0.48841045982736497</v>
      </c>
      <c r="H67">
        <v>10.3358779517594</v>
      </c>
      <c r="I67">
        <v>10.8919879498998</v>
      </c>
      <c r="J67">
        <v>0.55610999814043405</v>
      </c>
    </row>
    <row r="68" spans="1:10" x14ac:dyDescent="0.35">
      <c r="A68" s="3" t="s">
        <v>105</v>
      </c>
      <c r="B68" s="3">
        <v>18.2524415507547</v>
      </c>
      <c r="C68" s="3">
        <v>18.240942200359498</v>
      </c>
      <c r="D68" s="3">
        <v>1.1499350395187199E-2</v>
      </c>
      <c r="E68">
        <v>9.4488422719176697</v>
      </c>
      <c r="F68">
        <v>9.9257796018564708</v>
      </c>
      <c r="G68">
        <v>0.48841045982736497</v>
      </c>
      <c r="H68">
        <v>10.3358779517594</v>
      </c>
      <c r="I68">
        <v>10.8919879498998</v>
      </c>
      <c r="J68">
        <v>0.55610999814043405</v>
      </c>
    </row>
    <row r="69" spans="1:10" x14ac:dyDescent="0.35">
      <c r="A69" s="3" t="s">
        <v>51</v>
      </c>
      <c r="B69" s="3">
        <v>3.33152311646935</v>
      </c>
      <c r="C69" s="3">
        <v>3.45792567846064</v>
      </c>
      <c r="D69" s="3">
        <v>-0.126402561991284</v>
      </c>
      <c r="E69">
        <v>9.4488422719176697</v>
      </c>
      <c r="F69">
        <v>9.9257796018564708</v>
      </c>
      <c r="G69">
        <v>0.48841045982736497</v>
      </c>
      <c r="H69">
        <v>10.3358779517594</v>
      </c>
      <c r="I69">
        <v>10.8919879498998</v>
      </c>
      <c r="J69">
        <v>0.55610999814043405</v>
      </c>
    </row>
    <row r="70" spans="1:10" x14ac:dyDescent="0.35">
      <c r="A70" s="3" t="s">
        <v>133</v>
      </c>
      <c r="B70" s="3">
        <v>11.3469065689338</v>
      </c>
      <c r="C70" s="3">
        <v>11.523167542050301</v>
      </c>
      <c r="D70" s="3">
        <v>-0.17626097311648101</v>
      </c>
      <c r="E70">
        <v>9.4488422719176697</v>
      </c>
      <c r="F70">
        <v>9.9257796018564708</v>
      </c>
      <c r="G70">
        <v>0.48841045982736497</v>
      </c>
      <c r="H70">
        <v>10.3358779517594</v>
      </c>
      <c r="I70">
        <v>10.8919879498998</v>
      </c>
      <c r="J70">
        <v>0.55610999814043405</v>
      </c>
    </row>
    <row r="71" spans="1:10" x14ac:dyDescent="0.35">
      <c r="A71" s="3" t="s">
        <v>139</v>
      </c>
      <c r="B71" s="3">
        <v>10.5780304838191</v>
      </c>
      <c r="C71" s="3">
        <v>10.759932524035699</v>
      </c>
      <c r="D71" s="3">
        <v>-0.181902040216634</v>
      </c>
      <c r="E71">
        <v>9.4488422719176697</v>
      </c>
      <c r="F71">
        <v>9.9257796018564708</v>
      </c>
      <c r="G71">
        <v>0.48841045982736497</v>
      </c>
      <c r="H71">
        <v>10.3358779517594</v>
      </c>
      <c r="I71">
        <v>10.8919879498998</v>
      </c>
      <c r="J71">
        <v>0.55610999814043405</v>
      </c>
    </row>
    <row r="72" spans="1:10" x14ac:dyDescent="0.35">
      <c r="A72" s="3" t="s">
        <v>48</v>
      </c>
      <c r="B72" s="3">
        <v>6.4273282875298499</v>
      </c>
      <c r="C72" s="3">
        <v>6.6276137438268403</v>
      </c>
      <c r="D72" s="3">
        <v>-0.20028545629698699</v>
      </c>
      <c r="E72">
        <v>9.4488422719176697</v>
      </c>
      <c r="F72">
        <v>9.9257796018564708</v>
      </c>
      <c r="G72">
        <v>0.48841045982736497</v>
      </c>
      <c r="H72">
        <v>10.3358779517594</v>
      </c>
      <c r="I72">
        <v>10.8919879498998</v>
      </c>
      <c r="J72">
        <v>0.55610999814043405</v>
      </c>
    </row>
    <row r="73" spans="1:10" x14ac:dyDescent="0.35">
      <c r="A73" s="3" t="s">
        <v>117</v>
      </c>
      <c r="B73" s="3">
        <v>14.401855663069799</v>
      </c>
      <c r="C73" s="3">
        <v>14.604965619087199</v>
      </c>
      <c r="D73" s="3">
        <v>-0.203109956017371</v>
      </c>
      <c r="E73">
        <v>9.4488422719176697</v>
      </c>
      <c r="F73">
        <v>9.9257796018564708</v>
      </c>
      <c r="G73">
        <v>0.48841045982736497</v>
      </c>
      <c r="H73">
        <v>10.3358779517594</v>
      </c>
      <c r="I73">
        <v>10.8919879498998</v>
      </c>
      <c r="J73">
        <v>0.55610999814043405</v>
      </c>
    </row>
    <row r="74" spans="1:10" x14ac:dyDescent="0.35">
      <c r="A74" s="3" t="s">
        <v>43</v>
      </c>
      <c r="B74" s="3">
        <v>14.564852673772601</v>
      </c>
      <c r="C74" s="3">
        <v>14.7891872846852</v>
      </c>
      <c r="D74" s="3">
        <v>-0.22433461091263099</v>
      </c>
      <c r="E74">
        <v>9.4488422719176697</v>
      </c>
      <c r="F74">
        <v>9.9257796018564708</v>
      </c>
      <c r="G74">
        <v>0.48841045982736497</v>
      </c>
      <c r="H74">
        <v>10.3358779517594</v>
      </c>
      <c r="I74">
        <v>10.8919879498998</v>
      </c>
      <c r="J74">
        <v>0.55610999814043405</v>
      </c>
    </row>
    <row r="75" spans="1:10" x14ac:dyDescent="0.35">
      <c r="A75" s="3" t="s">
        <v>41</v>
      </c>
      <c r="B75" s="3">
        <v>8.2993564376224196</v>
      </c>
      <c r="C75" s="3">
        <v>8.5814270037066898</v>
      </c>
      <c r="D75" s="3">
        <v>-0.28207056608427</v>
      </c>
      <c r="E75">
        <v>9.4488422719176697</v>
      </c>
      <c r="F75">
        <v>9.9257796018564708</v>
      </c>
      <c r="G75">
        <v>0.48841045982736497</v>
      </c>
      <c r="H75">
        <v>10.3358779517594</v>
      </c>
      <c r="I75">
        <v>10.8919879498998</v>
      </c>
      <c r="J75">
        <v>0.55610999814043405</v>
      </c>
    </row>
    <row r="76" spans="1:10" x14ac:dyDescent="0.35">
      <c r="A76" s="3" t="s">
        <v>59</v>
      </c>
      <c r="B76" s="3">
        <v>8.4057670366144599</v>
      </c>
      <c r="C76" s="3">
        <v>8.8206579130885192</v>
      </c>
      <c r="D76" s="3">
        <v>-0.41489087647406497</v>
      </c>
      <c r="E76">
        <v>9.4488422719176697</v>
      </c>
      <c r="F76">
        <v>9.9257796018564708</v>
      </c>
      <c r="G76">
        <v>0.48841045982736497</v>
      </c>
      <c r="H76">
        <v>10.3358779517594</v>
      </c>
      <c r="I76">
        <v>10.8919879498998</v>
      </c>
      <c r="J76">
        <v>0.55610999814043405</v>
      </c>
    </row>
    <row r="77" spans="1:10" x14ac:dyDescent="0.35">
      <c r="A77" s="3" t="s">
        <v>90</v>
      </c>
      <c r="B77" s="3">
        <v>9.3101303699879097</v>
      </c>
      <c r="C77" s="3">
        <v>9.7250455934113198</v>
      </c>
      <c r="D77" s="3">
        <v>-0.41491522342340298</v>
      </c>
      <c r="E77">
        <v>9.4488422719176697</v>
      </c>
      <c r="F77">
        <v>9.9257796018564708</v>
      </c>
      <c r="G77">
        <v>0.48841045982736497</v>
      </c>
      <c r="H77">
        <v>10.3358779517594</v>
      </c>
      <c r="I77">
        <v>10.8919879498998</v>
      </c>
      <c r="J77">
        <v>0.55610999814043405</v>
      </c>
    </row>
    <row r="78" spans="1:10" x14ac:dyDescent="0.35">
      <c r="A78" s="3" t="s">
        <v>68</v>
      </c>
      <c r="B78" s="3">
        <v>14.419354838709699</v>
      </c>
      <c r="C78" s="3">
        <v>14.8464567776367</v>
      </c>
      <c r="D78" s="3">
        <v>-0.42710193892702703</v>
      </c>
      <c r="E78">
        <v>9.4488422719176697</v>
      </c>
      <c r="F78">
        <v>9.9257796018564708</v>
      </c>
      <c r="G78">
        <v>0.48841045982736497</v>
      </c>
      <c r="H78">
        <v>10.3358779517594</v>
      </c>
      <c r="I78">
        <v>10.8919879498998</v>
      </c>
      <c r="J78">
        <v>0.55610999814043405</v>
      </c>
    </row>
    <row r="79" spans="1:10" x14ac:dyDescent="0.35">
      <c r="A79" s="3" t="s">
        <v>136</v>
      </c>
      <c r="B79" s="3">
        <v>5.7999474665098996</v>
      </c>
      <c r="C79" s="3">
        <v>6.3533585136790496</v>
      </c>
      <c r="D79" s="3">
        <v>-0.55341104716915301</v>
      </c>
      <c r="E79">
        <v>9.4488422719176697</v>
      </c>
      <c r="F79">
        <v>9.9257796018564708</v>
      </c>
      <c r="G79">
        <v>0.48841045982736497</v>
      </c>
      <c r="H79">
        <v>10.3358779517594</v>
      </c>
      <c r="I79">
        <v>10.8919879498998</v>
      </c>
      <c r="J79">
        <v>0.55610999814043405</v>
      </c>
    </row>
    <row r="80" spans="1:10" x14ac:dyDescent="0.35">
      <c r="A80" s="3" t="s">
        <v>108</v>
      </c>
      <c r="B80" s="3">
        <v>3.9011455861240498</v>
      </c>
      <c r="C80" s="3">
        <v>4.5815600870565696</v>
      </c>
      <c r="D80" s="3">
        <v>-0.68041450093252198</v>
      </c>
      <c r="E80">
        <v>9.4488422719176697</v>
      </c>
      <c r="F80">
        <v>9.9257796018564708</v>
      </c>
      <c r="G80">
        <v>0.48841045982736497</v>
      </c>
      <c r="H80">
        <v>10.3358779517594</v>
      </c>
      <c r="I80">
        <v>10.8919879498998</v>
      </c>
      <c r="J80">
        <v>0.55610999814043405</v>
      </c>
    </row>
    <row r="81" spans="1:10" x14ac:dyDescent="0.35">
      <c r="A81" s="3" t="s">
        <v>92</v>
      </c>
      <c r="B81" s="3">
        <v>5.1091365655785204</v>
      </c>
      <c r="C81" s="3">
        <v>5.8984776543149398</v>
      </c>
      <c r="D81" s="3">
        <v>-0.78934108873642295</v>
      </c>
      <c r="E81">
        <v>9.4488422719176697</v>
      </c>
      <c r="F81">
        <v>9.9257796018564708</v>
      </c>
      <c r="G81">
        <v>0.48841045982736497</v>
      </c>
      <c r="H81">
        <v>10.3358779517594</v>
      </c>
      <c r="I81">
        <v>10.8919879498998</v>
      </c>
      <c r="J81">
        <v>0.55610999814043405</v>
      </c>
    </row>
    <row r="82" spans="1:10" x14ac:dyDescent="0.35">
      <c r="A82" s="3" t="s">
        <v>128</v>
      </c>
      <c r="B82" s="3">
        <v>10.0522273425499</v>
      </c>
      <c r="C82" s="3">
        <v>10.9870196632824</v>
      </c>
      <c r="D82" s="3">
        <v>-0.93479232073243101</v>
      </c>
      <c r="E82">
        <v>9.4488422719176697</v>
      </c>
      <c r="F82">
        <v>9.9257796018564708</v>
      </c>
      <c r="G82">
        <v>0.48841045982736497</v>
      </c>
      <c r="H82">
        <v>10.3358779517594</v>
      </c>
      <c r="I82">
        <v>10.8919879498998</v>
      </c>
      <c r="J82">
        <v>0.55610999814043405</v>
      </c>
    </row>
    <row r="83" spans="1:10" x14ac:dyDescent="0.35">
      <c r="A83" s="3" t="s">
        <v>79</v>
      </c>
      <c r="B83" s="3">
        <v>6.7206554362815396</v>
      </c>
      <c r="C83" s="3">
        <v>7.6587055417700602</v>
      </c>
      <c r="D83" s="3">
        <v>-0.93805010548852297</v>
      </c>
      <c r="E83">
        <v>9.4488422719176697</v>
      </c>
      <c r="F83">
        <v>9.9257796018564708</v>
      </c>
      <c r="G83">
        <v>0.48841045982736497</v>
      </c>
      <c r="H83">
        <v>10.3358779517594</v>
      </c>
      <c r="I83">
        <v>10.8919879498998</v>
      </c>
      <c r="J83">
        <v>0.55610999814043405</v>
      </c>
    </row>
    <row r="84" spans="1:10" x14ac:dyDescent="0.35">
      <c r="A84" s="3" t="s">
        <v>62</v>
      </c>
      <c r="B84" s="3">
        <v>5.2511926700308296</v>
      </c>
      <c r="C84" s="3">
        <v>6.2550216250405999</v>
      </c>
      <c r="D84" s="3">
        <v>-1.0038289550097701</v>
      </c>
      <c r="E84">
        <v>9.4488422719176697</v>
      </c>
      <c r="F84">
        <v>9.9257796018564708</v>
      </c>
      <c r="G84">
        <v>0.48841045982736497</v>
      </c>
      <c r="H84">
        <v>10.3358779517594</v>
      </c>
      <c r="I84">
        <v>10.8919879498998</v>
      </c>
      <c r="J84">
        <v>0.55610999814043405</v>
      </c>
    </row>
    <row r="85" spans="1:10" x14ac:dyDescent="0.35">
      <c r="A85" s="3" t="s">
        <v>138</v>
      </c>
      <c r="B85" s="3">
        <v>2.9146480759384001</v>
      </c>
      <c r="C85" s="3">
        <v>3.9563023433991198</v>
      </c>
      <c r="D85" s="3">
        <v>-1.0416542674607201</v>
      </c>
      <c r="E85">
        <v>9.4488422719176697</v>
      </c>
      <c r="F85">
        <v>9.9257796018564708</v>
      </c>
      <c r="G85">
        <v>0.48841045982736497</v>
      </c>
      <c r="H85">
        <v>10.3358779517594</v>
      </c>
      <c r="I85">
        <v>10.8919879498998</v>
      </c>
      <c r="J85">
        <v>0.55610999814043405</v>
      </c>
    </row>
    <row r="86" spans="1:10" x14ac:dyDescent="0.35">
      <c r="A86" s="3" t="s">
        <v>130</v>
      </c>
      <c r="B86" s="3">
        <v>13.705163697640799</v>
      </c>
      <c r="C86" s="3">
        <v>14.9658289751778</v>
      </c>
      <c r="D86" s="3">
        <v>-1.26066527753697</v>
      </c>
      <c r="E86">
        <v>9.4488422719176697</v>
      </c>
      <c r="F86">
        <v>9.9257796018564708</v>
      </c>
      <c r="G86">
        <v>0.48841045982736497</v>
      </c>
      <c r="H86">
        <v>10.3358779517594</v>
      </c>
      <c r="I86">
        <v>10.8919879498998</v>
      </c>
      <c r="J86">
        <v>0.55610999814043405</v>
      </c>
    </row>
    <row r="87" spans="1:10" x14ac:dyDescent="0.35">
      <c r="A87" s="3" t="s">
        <v>98</v>
      </c>
      <c r="B87" s="3">
        <v>12.3845747060977</v>
      </c>
      <c r="C87" s="3">
        <v>13.6740470120642</v>
      </c>
      <c r="D87" s="3">
        <v>-1.2894723059664499</v>
      </c>
      <c r="E87">
        <v>9.4488422719176697</v>
      </c>
      <c r="F87">
        <v>9.9257796018564708</v>
      </c>
      <c r="G87">
        <v>0.48841045982736497</v>
      </c>
      <c r="H87">
        <v>10.3358779517594</v>
      </c>
      <c r="I87">
        <v>10.8919879498998</v>
      </c>
      <c r="J87">
        <v>0.55610999814043405</v>
      </c>
    </row>
    <row r="88" spans="1:10" x14ac:dyDescent="0.35">
      <c r="A88" s="3" t="s">
        <v>89</v>
      </c>
      <c r="B88" s="3">
        <v>12.4847765668426</v>
      </c>
      <c r="C88" s="3">
        <v>13.8719664436233</v>
      </c>
      <c r="D88" s="3">
        <v>-1.38718987678071</v>
      </c>
      <c r="E88">
        <v>9.4488422719176697</v>
      </c>
      <c r="F88">
        <v>9.9257796018564708</v>
      </c>
      <c r="G88">
        <v>0.48841045982736497</v>
      </c>
      <c r="H88">
        <v>10.3358779517594</v>
      </c>
      <c r="I88">
        <v>10.8919879498998</v>
      </c>
      <c r="J88">
        <v>0.55610999814043405</v>
      </c>
    </row>
    <row r="89" spans="1:10" x14ac:dyDescent="0.35">
      <c r="A89" s="3" t="s">
        <v>63</v>
      </c>
      <c r="B89" s="3">
        <v>7.3526198120661004</v>
      </c>
      <c r="C89" s="3">
        <v>8.8121142711713407</v>
      </c>
      <c r="D89" s="3">
        <v>-1.4594944591052501</v>
      </c>
      <c r="E89">
        <v>9.4488422719176697</v>
      </c>
      <c r="F89">
        <v>9.9257796018564708</v>
      </c>
      <c r="G89">
        <v>0.48841045982736497</v>
      </c>
      <c r="H89">
        <v>10.3358779517594</v>
      </c>
      <c r="I89">
        <v>10.8919879498998</v>
      </c>
      <c r="J89">
        <v>0.55610999814043405</v>
      </c>
    </row>
    <row r="90" spans="1:10" x14ac:dyDescent="0.35">
      <c r="A90" s="3" t="s">
        <v>119</v>
      </c>
      <c r="B90" s="3">
        <v>15.960755917718</v>
      </c>
      <c r="C90" s="3">
        <v>17.486157920077002</v>
      </c>
      <c r="D90" s="3">
        <v>-1.52540200235907</v>
      </c>
      <c r="E90">
        <v>9.4488422719176697</v>
      </c>
      <c r="F90">
        <v>9.9257796018564708</v>
      </c>
      <c r="G90">
        <v>0.48841045982736497</v>
      </c>
      <c r="H90">
        <v>10.3358779517594</v>
      </c>
      <c r="I90">
        <v>10.8919879498998</v>
      </c>
      <c r="J90">
        <v>0.55610999814043405</v>
      </c>
    </row>
    <row r="91" spans="1:10" x14ac:dyDescent="0.35">
      <c r="A91" s="3" t="s">
        <v>127</v>
      </c>
      <c r="B91" s="3">
        <v>9.4243150045015192</v>
      </c>
      <c r="C91" s="3">
        <v>10.950542131089501</v>
      </c>
      <c r="D91" s="3">
        <v>-1.5262271265879701</v>
      </c>
      <c r="E91">
        <v>9.4488422719176697</v>
      </c>
      <c r="F91">
        <v>9.9257796018564708</v>
      </c>
      <c r="G91">
        <v>0.48841045982736497</v>
      </c>
      <c r="H91">
        <v>10.3358779517594</v>
      </c>
      <c r="I91">
        <v>10.8919879498998</v>
      </c>
      <c r="J91">
        <v>0.55610999814043405</v>
      </c>
    </row>
    <row r="92" spans="1:10" x14ac:dyDescent="0.35">
      <c r="A92" s="3" t="s">
        <v>125</v>
      </c>
      <c r="B92" s="3">
        <v>4.00739719813674</v>
      </c>
      <c r="C92" s="3">
        <v>5.6712845923079502</v>
      </c>
      <c r="D92" s="3">
        <v>-1.66388739417121</v>
      </c>
      <c r="E92">
        <v>9.4488422719176697</v>
      </c>
      <c r="F92">
        <v>9.9257796018564708</v>
      </c>
      <c r="G92">
        <v>0.48841045982736497</v>
      </c>
      <c r="H92">
        <v>10.3358779517594</v>
      </c>
      <c r="I92">
        <v>10.8919879498998</v>
      </c>
      <c r="J92">
        <v>0.55610999814043405</v>
      </c>
    </row>
    <row r="93" spans="1:10" x14ac:dyDescent="0.35">
      <c r="A93" s="3" t="s">
        <v>61</v>
      </c>
      <c r="B93" s="3">
        <v>4.58967073374561</v>
      </c>
      <c r="C93" s="3">
        <v>6.3015955601803704</v>
      </c>
      <c r="D93" s="3">
        <v>-1.71192482643476</v>
      </c>
      <c r="E93">
        <v>9.4488422719176697</v>
      </c>
      <c r="F93">
        <v>9.9257796018564708</v>
      </c>
      <c r="G93">
        <v>0.48841045982736497</v>
      </c>
      <c r="H93">
        <v>10.3358779517594</v>
      </c>
      <c r="I93">
        <v>10.8919879498998</v>
      </c>
      <c r="J93">
        <v>0.55610999814043405</v>
      </c>
    </row>
    <row r="94" spans="1:10" x14ac:dyDescent="0.35">
      <c r="A94" s="3" t="s">
        <v>113</v>
      </c>
      <c r="B94" s="3">
        <v>8.7970032448940607</v>
      </c>
      <c r="C94" s="3">
        <v>10.781112951954</v>
      </c>
      <c r="D94" s="3">
        <v>-1.9841097070599401</v>
      </c>
      <c r="E94">
        <v>9.4488422719176697</v>
      </c>
      <c r="F94">
        <v>9.9257796018564708</v>
      </c>
      <c r="G94">
        <v>0.48841045982736497</v>
      </c>
      <c r="H94">
        <v>10.3358779517594</v>
      </c>
      <c r="I94">
        <v>10.8919879498998</v>
      </c>
      <c r="J94">
        <v>0.55610999814043405</v>
      </c>
    </row>
    <row r="95" spans="1:10" x14ac:dyDescent="0.35">
      <c r="A95" s="3" t="s">
        <v>91</v>
      </c>
      <c r="B95" s="3">
        <v>8.96569830975122</v>
      </c>
      <c r="C95" s="3">
        <v>10.9893925570882</v>
      </c>
      <c r="D95" s="3">
        <v>-2.0236942473369801</v>
      </c>
      <c r="E95">
        <v>9.4488422719176697</v>
      </c>
      <c r="F95">
        <v>9.9257796018564708</v>
      </c>
      <c r="G95">
        <v>0.48841045982736497</v>
      </c>
      <c r="H95">
        <v>10.3358779517594</v>
      </c>
      <c r="I95">
        <v>10.8919879498998</v>
      </c>
      <c r="J95">
        <v>0.55610999814043405</v>
      </c>
    </row>
    <row r="96" spans="1:10" x14ac:dyDescent="0.35">
      <c r="A96" s="3" t="s">
        <v>124</v>
      </c>
      <c r="B96" s="3">
        <v>2.6097433449271401</v>
      </c>
      <c r="C96" s="3">
        <v>4.7410035174217597</v>
      </c>
      <c r="D96" s="3">
        <v>-2.1312601724946201</v>
      </c>
      <c r="E96">
        <v>9.4488422719176697</v>
      </c>
      <c r="F96">
        <v>9.9257796018564708</v>
      </c>
      <c r="G96">
        <v>0.48841045982736497</v>
      </c>
      <c r="H96">
        <v>10.3358779517594</v>
      </c>
      <c r="I96">
        <v>10.8919879498998</v>
      </c>
      <c r="J96">
        <v>0.55610999814043405</v>
      </c>
    </row>
    <row r="97" spans="1:10" x14ac:dyDescent="0.35">
      <c r="A97" s="3" t="s">
        <v>55</v>
      </c>
      <c r="B97" s="3">
        <v>6.2649218231101997</v>
      </c>
      <c r="C97" s="3">
        <v>8.6322616778529593</v>
      </c>
      <c r="D97" s="3">
        <v>-2.3673398547427502</v>
      </c>
      <c r="E97">
        <v>9.4488422719176697</v>
      </c>
      <c r="F97">
        <v>9.9257796018564708</v>
      </c>
      <c r="G97">
        <v>0.48841045982736497</v>
      </c>
      <c r="H97">
        <v>10.3358779517594</v>
      </c>
      <c r="I97">
        <v>10.8919879498998</v>
      </c>
      <c r="J97">
        <v>0.55610999814043405</v>
      </c>
    </row>
    <row r="98" spans="1:10" x14ac:dyDescent="0.35">
      <c r="A98" s="3" t="s">
        <v>2</v>
      </c>
      <c r="B98" s="3">
        <v>11.085095903318599</v>
      </c>
      <c r="C98" s="3">
        <v>13.678414393093901</v>
      </c>
      <c r="D98" s="3">
        <v>-2.5933184897752901</v>
      </c>
      <c r="E98">
        <v>9.4488422719176697</v>
      </c>
      <c r="F98">
        <v>9.9257796018564708</v>
      </c>
      <c r="G98">
        <v>0.48841045982736497</v>
      </c>
      <c r="H98">
        <v>10.3358779517594</v>
      </c>
      <c r="I98">
        <v>10.8919879498998</v>
      </c>
      <c r="J98">
        <v>0.55610999814043405</v>
      </c>
    </row>
    <row r="99" spans="1:10" x14ac:dyDescent="0.35">
      <c r="A99" s="3" t="s">
        <v>6</v>
      </c>
      <c r="B99" s="3">
        <v>11.486528841693501</v>
      </c>
      <c r="C99" s="3">
        <v>14.3326325218019</v>
      </c>
      <c r="D99" s="3">
        <v>-2.8461036801083499</v>
      </c>
      <c r="E99">
        <v>9.4488422719176697</v>
      </c>
      <c r="F99">
        <v>9.9257796018564708</v>
      </c>
      <c r="G99">
        <v>0.48841045982736497</v>
      </c>
      <c r="H99">
        <v>10.3358779517594</v>
      </c>
      <c r="I99">
        <v>10.8919879498998</v>
      </c>
      <c r="J99">
        <v>0.55610999814043405</v>
      </c>
    </row>
    <row r="100" spans="1:10" x14ac:dyDescent="0.35">
      <c r="A100" s="3" t="s">
        <v>0</v>
      </c>
      <c r="B100" s="3">
        <v>4.0947736934233596</v>
      </c>
      <c r="C100" s="3">
        <v>7.0073698199830901</v>
      </c>
      <c r="D100" s="3">
        <v>-2.91259612655973</v>
      </c>
      <c r="E100">
        <v>9.4488422719176697</v>
      </c>
      <c r="F100">
        <v>9.9257796018564708</v>
      </c>
      <c r="G100">
        <v>0.48841045982736497</v>
      </c>
      <c r="H100">
        <v>10.3358779517594</v>
      </c>
      <c r="I100">
        <v>10.8919879498998</v>
      </c>
      <c r="J100">
        <v>0.55610999814043405</v>
      </c>
    </row>
    <row r="101" spans="1:10" x14ac:dyDescent="0.35">
      <c r="A101" s="7" t="s">
        <v>118</v>
      </c>
      <c r="B101" s="7">
        <v>13.510520487264699</v>
      </c>
      <c r="C101" s="7">
        <v>16.4906774022961</v>
      </c>
      <c r="D101" s="7">
        <v>-2.98015691503144</v>
      </c>
      <c r="E101">
        <v>9.4488422719176697</v>
      </c>
      <c r="F101">
        <v>9.9257796018564708</v>
      </c>
      <c r="G101">
        <v>0.48841045982736497</v>
      </c>
      <c r="H101">
        <v>10.3358779517594</v>
      </c>
      <c r="I101">
        <v>10.8919879498998</v>
      </c>
      <c r="J101">
        <v>0.55610999814043405</v>
      </c>
    </row>
    <row r="102" spans="1:10" x14ac:dyDescent="0.35">
      <c r="A102" s="7" t="s">
        <v>82</v>
      </c>
      <c r="B102" s="7">
        <v>13.9241592312972</v>
      </c>
      <c r="C102" s="7">
        <v>17.154590923691099</v>
      </c>
      <c r="D102" s="7">
        <v>-3.23043169239391</v>
      </c>
      <c r="E102">
        <v>9.4488422719176697</v>
      </c>
      <c r="F102">
        <v>9.9257796018564708</v>
      </c>
      <c r="G102">
        <v>0.48841045982736497</v>
      </c>
      <c r="H102">
        <v>10.3358779517594</v>
      </c>
      <c r="I102">
        <v>10.8919879498998</v>
      </c>
      <c r="J102">
        <v>0.55610999814043405</v>
      </c>
    </row>
    <row r="103" spans="1:10" x14ac:dyDescent="0.35">
      <c r="A103" s="3" t="s">
        <v>5</v>
      </c>
      <c r="B103" s="3">
        <v>20.846039784013701</v>
      </c>
      <c r="C103" s="3">
        <v>25.554072870735698</v>
      </c>
      <c r="D103" s="3">
        <v>-4.7080330867220201</v>
      </c>
      <c r="E103">
        <v>9.4488422719176697</v>
      </c>
      <c r="F103">
        <v>9.9257796018564708</v>
      </c>
      <c r="G103">
        <v>0.48841045982736497</v>
      </c>
      <c r="H103">
        <v>10.3358779517594</v>
      </c>
      <c r="I103">
        <v>10.8919879498998</v>
      </c>
      <c r="J103">
        <v>0.55610999814043405</v>
      </c>
    </row>
    <row r="104" spans="1:10" x14ac:dyDescent="0.35">
      <c r="A104" s="3" t="s">
        <v>1</v>
      </c>
      <c r="B104" s="3">
        <v>9.1447173720035497</v>
      </c>
      <c r="C104" s="3">
        <v>14.978525972601</v>
      </c>
      <c r="D104" s="3">
        <v>-5.8338086005974699</v>
      </c>
      <c r="E104">
        <v>9.4488422719176697</v>
      </c>
      <c r="F104">
        <v>9.9257796018564708</v>
      </c>
      <c r="G104">
        <v>0.48841045982736497</v>
      </c>
      <c r="H104">
        <v>10.3358779517594</v>
      </c>
      <c r="I104">
        <v>10.8919879498998</v>
      </c>
      <c r="J104">
        <v>0.55610999814043405</v>
      </c>
    </row>
    <row r="105" spans="1:10" x14ac:dyDescent="0.35">
      <c r="A105" s="3" t="s">
        <v>4</v>
      </c>
      <c r="B105" s="3">
        <v>3.1873123412117899</v>
      </c>
      <c r="C105" s="3">
        <v>11.3505446166737</v>
      </c>
      <c r="D105" s="3">
        <v>-8.1632322754618496</v>
      </c>
      <c r="E105">
        <v>9.4488422719176697</v>
      </c>
      <c r="F105">
        <v>9.9257796018564708</v>
      </c>
      <c r="G105">
        <v>0.48841045982736497</v>
      </c>
      <c r="H105">
        <v>10.3358779517594</v>
      </c>
      <c r="I105">
        <v>10.8919879498998</v>
      </c>
      <c r="J105">
        <v>0.55610999814043405</v>
      </c>
    </row>
    <row r="106" spans="1:10" x14ac:dyDescent="0.35">
      <c r="A106" s="7" t="s">
        <v>53</v>
      </c>
      <c r="B106" s="7">
        <v>8.9693154996066102</v>
      </c>
      <c r="C106" s="7">
        <v>17.513768686073998</v>
      </c>
      <c r="D106" s="7">
        <v>-8.5444531864673507</v>
      </c>
      <c r="E106">
        <v>9.4488422719176697</v>
      </c>
      <c r="F106">
        <v>9.9257796018564708</v>
      </c>
      <c r="G106">
        <v>0.48841045982736497</v>
      </c>
      <c r="H106">
        <v>10.3358779517594</v>
      </c>
      <c r="I106">
        <v>10.8919879498998</v>
      </c>
      <c r="J106">
        <v>0.55610999814043405</v>
      </c>
    </row>
    <row r="107" spans="1:10" x14ac:dyDescent="0.35">
      <c r="A107" s="3" t="s">
        <v>3</v>
      </c>
      <c r="B107" s="3">
        <v>8.9188283717813697</v>
      </c>
      <c r="C107" s="3">
        <v>18.8376512472637</v>
      </c>
      <c r="D107" s="3">
        <v>-9.9188228754823502</v>
      </c>
      <c r="E107">
        <v>9.4488422719176697</v>
      </c>
      <c r="F107">
        <v>9.9257796018564708</v>
      </c>
      <c r="G107">
        <v>0.48841045982736497</v>
      </c>
      <c r="H107">
        <v>10.3358779517594</v>
      </c>
      <c r="I107">
        <v>10.8919879498998</v>
      </c>
      <c r="J107">
        <v>0.55610999814043405</v>
      </c>
    </row>
    <row r="108" spans="1:10" x14ac:dyDescent="0.35">
      <c r="A108" s="7" t="s">
        <v>99</v>
      </c>
      <c r="B108" s="7">
        <v>1.68797488511761</v>
      </c>
      <c r="C108" s="7">
        <v>19.285364659814</v>
      </c>
      <c r="D108" s="7">
        <v>-17.597389774696399</v>
      </c>
      <c r="E108">
        <v>9.4488422719176697</v>
      </c>
      <c r="F108">
        <v>9.9257796018564708</v>
      </c>
      <c r="G108">
        <v>0.48841045982736497</v>
      </c>
      <c r="H108">
        <v>10.3358779517594</v>
      </c>
      <c r="I108">
        <v>10.8919879498998</v>
      </c>
      <c r="J108">
        <v>0.55610999814043405</v>
      </c>
    </row>
    <row r="110" spans="1:10" x14ac:dyDescent="0.35">
      <c r="A110">
        <f>COUNTA(A107,A103:A105,A2:A100)</f>
        <v>103</v>
      </c>
    </row>
  </sheetData>
  <sortState xmlns:xlrd2="http://schemas.microsoft.com/office/spreadsheetml/2017/richdata2" ref="A2:J108">
    <sortCondition descending="1" ref="D2:D108"/>
  </sortState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D112"/>
  <sheetViews>
    <sheetView topLeftCell="A94" workbookViewId="0">
      <selection activeCell="A111" sqref="A111:A113"/>
    </sheetView>
  </sheetViews>
  <sheetFormatPr defaultColWidth="10.90625" defaultRowHeight="14.5" x14ac:dyDescent="0.35"/>
  <sheetData>
    <row r="1" spans="1:13" x14ac:dyDescent="0.35">
      <c r="A1" s="3" t="s">
        <v>8</v>
      </c>
      <c r="B1" s="3" t="s">
        <v>32</v>
      </c>
      <c r="C1" s="3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141</v>
      </c>
      <c r="L1" t="s">
        <v>142</v>
      </c>
      <c r="M1" t="s">
        <v>143</v>
      </c>
    </row>
    <row r="2" spans="1:13" x14ac:dyDescent="0.35">
      <c r="A2" s="3" t="s">
        <v>109</v>
      </c>
      <c r="B2" s="3">
        <v>4.2745347832021503</v>
      </c>
      <c r="C2" s="3">
        <v>2.3475605123607801</v>
      </c>
      <c r="D2">
        <v>1.92697427084137</v>
      </c>
      <c r="E2">
        <v>9.4488422719176697</v>
      </c>
      <c r="F2">
        <v>9.9257796018564708</v>
      </c>
      <c r="G2">
        <v>0.48841045982736497</v>
      </c>
      <c r="H2">
        <v>10.3358779517594</v>
      </c>
      <c r="I2">
        <v>10.8919879498998</v>
      </c>
      <c r="J2">
        <v>0.55610999814043405</v>
      </c>
      <c r="K2">
        <v>1</v>
      </c>
      <c r="L2">
        <v>10</v>
      </c>
      <c r="M2">
        <v>76</v>
      </c>
    </row>
    <row r="3" spans="1:13" x14ac:dyDescent="0.35">
      <c r="A3" s="3" t="s">
        <v>45</v>
      </c>
      <c r="B3" s="3">
        <v>5.9220223575910103</v>
      </c>
      <c r="C3" s="3">
        <v>2.5905088221361301</v>
      </c>
      <c r="D3">
        <v>3.3315135354548802</v>
      </c>
      <c r="E3">
        <v>9.4488422719176697</v>
      </c>
      <c r="F3">
        <v>9.9257796018564708</v>
      </c>
      <c r="G3">
        <v>0.48841045982736497</v>
      </c>
      <c r="H3">
        <v>10.3358779517594</v>
      </c>
      <c r="I3">
        <v>10.8919879498998</v>
      </c>
      <c r="J3">
        <v>0.55610999814043405</v>
      </c>
      <c r="K3">
        <v>2</v>
      </c>
      <c r="L3">
        <v>18</v>
      </c>
      <c r="M3">
        <v>90</v>
      </c>
    </row>
    <row r="4" spans="1:13" x14ac:dyDescent="0.35">
      <c r="A4" s="3" t="s">
        <v>101</v>
      </c>
      <c r="B4" s="3">
        <v>3.6923304052557802</v>
      </c>
      <c r="C4" s="3">
        <v>2.9678591842417701</v>
      </c>
      <c r="D4">
        <v>0.72447122101400896</v>
      </c>
      <c r="E4">
        <v>9.4488422719176697</v>
      </c>
      <c r="F4">
        <v>9.9257796018564708</v>
      </c>
      <c r="G4">
        <v>0.48841045982736497</v>
      </c>
      <c r="H4">
        <v>10.3358779517594</v>
      </c>
      <c r="I4">
        <v>10.8919879498998</v>
      </c>
      <c r="J4">
        <v>0.55610999814043405</v>
      </c>
      <c r="K4">
        <v>3</v>
      </c>
      <c r="L4">
        <v>6</v>
      </c>
      <c r="M4">
        <v>57</v>
      </c>
    </row>
    <row r="5" spans="1:13" x14ac:dyDescent="0.35">
      <c r="A5" s="3" t="s">
        <v>110</v>
      </c>
      <c r="B5" s="3">
        <v>7.5162312765196102</v>
      </c>
      <c r="C5" s="3">
        <v>3.4415492138953798</v>
      </c>
      <c r="D5">
        <v>4.0746820626242197</v>
      </c>
      <c r="E5">
        <v>9.4488422719176697</v>
      </c>
      <c r="F5">
        <v>9.9257796018564708</v>
      </c>
      <c r="G5">
        <v>0.48841045982736497</v>
      </c>
      <c r="H5">
        <v>10.3358779517594</v>
      </c>
      <c r="I5">
        <v>10.8919879498998</v>
      </c>
      <c r="J5">
        <v>0.55610999814043405</v>
      </c>
      <c r="K5">
        <v>4</v>
      </c>
      <c r="L5">
        <v>31</v>
      </c>
      <c r="M5">
        <v>97</v>
      </c>
    </row>
    <row r="6" spans="1:13" x14ac:dyDescent="0.35">
      <c r="A6" s="3" t="s">
        <v>51</v>
      </c>
      <c r="B6" s="3">
        <v>3.33152311646935</v>
      </c>
      <c r="C6" s="3">
        <v>3.45792567846064</v>
      </c>
      <c r="D6">
        <v>-0.126402561991284</v>
      </c>
      <c r="E6">
        <v>9.4488422719176697</v>
      </c>
      <c r="F6">
        <v>9.9257796018564708</v>
      </c>
      <c r="G6">
        <v>0.48841045982736497</v>
      </c>
      <c r="H6">
        <v>10.3358779517594</v>
      </c>
      <c r="I6">
        <v>10.8919879498998</v>
      </c>
      <c r="J6">
        <v>0.55610999814043405</v>
      </c>
      <c r="K6">
        <v>5</v>
      </c>
      <c r="L6">
        <v>5</v>
      </c>
      <c r="M6">
        <v>40</v>
      </c>
    </row>
    <row r="7" spans="1:13" x14ac:dyDescent="0.35">
      <c r="A7" s="3" t="s">
        <v>78</v>
      </c>
      <c r="B7" s="3">
        <v>8.4477058705670203</v>
      </c>
      <c r="C7" s="3">
        <v>3.50269970926208</v>
      </c>
      <c r="D7">
        <v>4.9450061613049403</v>
      </c>
      <c r="E7">
        <v>9.4488422719176697</v>
      </c>
      <c r="F7">
        <v>9.9257796018564708</v>
      </c>
      <c r="G7">
        <v>0.48841045982736497</v>
      </c>
      <c r="H7">
        <v>10.3358779517594</v>
      </c>
      <c r="I7">
        <v>10.8919879498998</v>
      </c>
      <c r="J7">
        <v>0.55610999814043405</v>
      </c>
      <c r="K7">
        <v>6</v>
      </c>
      <c r="L7">
        <v>37</v>
      </c>
      <c r="M7">
        <v>101</v>
      </c>
    </row>
    <row r="8" spans="1:13" x14ac:dyDescent="0.35">
      <c r="A8" s="3" t="s">
        <v>138</v>
      </c>
      <c r="B8" s="3">
        <v>2.9146480759384001</v>
      </c>
      <c r="C8" s="3">
        <v>3.9563023433991198</v>
      </c>
      <c r="D8">
        <v>-1.0416542674607201</v>
      </c>
      <c r="E8">
        <v>9.4488422719176697</v>
      </c>
      <c r="F8">
        <v>9.9257796018564708</v>
      </c>
      <c r="G8">
        <v>0.48841045982736497</v>
      </c>
      <c r="H8">
        <v>10.3358779517594</v>
      </c>
      <c r="I8">
        <v>10.8919879498998</v>
      </c>
      <c r="J8">
        <v>0.55610999814043405</v>
      </c>
      <c r="K8">
        <v>7</v>
      </c>
      <c r="L8">
        <v>3</v>
      </c>
      <c r="M8">
        <v>24</v>
      </c>
    </row>
    <row r="9" spans="1:13" x14ac:dyDescent="0.35">
      <c r="A9" s="3" t="s">
        <v>83</v>
      </c>
      <c r="B9" s="3">
        <v>9.2450375259825801</v>
      </c>
      <c r="C9" s="3">
        <v>4.0443532042313404</v>
      </c>
      <c r="D9">
        <v>5.2006843217512397</v>
      </c>
      <c r="E9">
        <v>9.4488422719176697</v>
      </c>
      <c r="F9">
        <v>9.9257796018564708</v>
      </c>
      <c r="G9">
        <v>0.48841045982736497</v>
      </c>
      <c r="H9">
        <v>10.3358779517594</v>
      </c>
      <c r="I9">
        <v>10.8919879498998</v>
      </c>
      <c r="J9">
        <v>0.55610999814043405</v>
      </c>
      <c r="K9">
        <v>8</v>
      </c>
      <c r="L9">
        <v>47</v>
      </c>
      <c r="M9">
        <v>102</v>
      </c>
    </row>
    <row r="10" spans="1:13" x14ac:dyDescent="0.35">
      <c r="A10" s="3" t="s">
        <v>80</v>
      </c>
      <c r="B10" s="3">
        <v>4.6152073732718897</v>
      </c>
      <c r="C10" s="3">
        <v>4.1560243433292303</v>
      </c>
      <c r="D10">
        <v>0.45918302994265597</v>
      </c>
      <c r="E10">
        <v>9.4488422719176697</v>
      </c>
      <c r="F10">
        <v>9.9257796018564708</v>
      </c>
      <c r="G10">
        <v>0.48841045982736497</v>
      </c>
      <c r="H10">
        <v>10.3358779517594</v>
      </c>
      <c r="I10">
        <v>10.8919879498998</v>
      </c>
      <c r="J10">
        <v>0.55610999814043405</v>
      </c>
      <c r="K10">
        <v>9</v>
      </c>
      <c r="L10">
        <v>12</v>
      </c>
      <c r="M10">
        <v>51</v>
      </c>
    </row>
    <row r="11" spans="1:13" x14ac:dyDescent="0.35">
      <c r="A11" s="3" t="s">
        <v>76</v>
      </c>
      <c r="B11" s="3">
        <v>7.0341733316781596</v>
      </c>
      <c r="C11" s="3">
        <v>4.2569444444444402</v>
      </c>
      <c r="D11">
        <v>2.7772288872337199</v>
      </c>
      <c r="E11">
        <v>9.4488422719176697</v>
      </c>
      <c r="F11">
        <v>9.9257796018564708</v>
      </c>
      <c r="G11">
        <v>0.48841045982736497</v>
      </c>
      <c r="H11">
        <v>10.3358779517594</v>
      </c>
      <c r="I11">
        <v>10.8919879498998</v>
      </c>
      <c r="J11">
        <v>0.55610999814043405</v>
      </c>
      <c r="K11">
        <v>10</v>
      </c>
      <c r="L11">
        <v>28</v>
      </c>
      <c r="M11">
        <v>85</v>
      </c>
    </row>
    <row r="12" spans="1:13" x14ac:dyDescent="0.35">
      <c r="A12" s="3" t="s">
        <v>50</v>
      </c>
      <c r="B12" s="3">
        <v>5.9198755348113599</v>
      </c>
      <c r="C12" s="3">
        <v>4.3098632217891</v>
      </c>
      <c r="D12">
        <v>1.6100123130222601</v>
      </c>
      <c r="E12">
        <v>9.4488422719176697</v>
      </c>
      <c r="F12">
        <v>9.9257796018564708</v>
      </c>
      <c r="G12">
        <v>0.48841045982736497</v>
      </c>
      <c r="H12">
        <v>10.3358779517594</v>
      </c>
      <c r="I12">
        <v>10.8919879498998</v>
      </c>
      <c r="J12">
        <v>0.55610999814043405</v>
      </c>
      <c r="K12">
        <v>11</v>
      </c>
      <c r="L12">
        <v>17</v>
      </c>
      <c r="M12">
        <v>69</v>
      </c>
    </row>
    <row r="13" spans="1:13" x14ac:dyDescent="0.35">
      <c r="A13" s="3" t="s">
        <v>107</v>
      </c>
      <c r="B13" s="3">
        <v>12.1368644452417</v>
      </c>
      <c r="C13" s="3">
        <v>4.4203078288795199</v>
      </c>
      <c r="D13">
        <v>7.7165566163621699</v>
      </c>
      <c r="E13">
        <v>9.4488422719176697</v>
      </c>
      <c r="F13">
        <v>9.9257796018564708</v>
      </c>
      <c r="G13">
        <v>0.48841045982736497</v>
      </c>
      <c r="H13">
        <v>10.3358779517594</v>
      </c>
      <c r="I13">
        <v>10.8919879498998</v>
      </c>
      <c r="J13">
        <v>0.55610999814043405</v>
      </c>
      <c r="K13">
        <v>12</v>
      </c>
      <c r="L13">
        <v>72</v>
      </c>
      <c r="M13">
        <v>105</v>
      </c>
    </row>
    <row r="14" spans="1:13" x14ac:dyDescent="0.35">
      <c r="A14" s="3" t="s">
        <v>64</v>
      </c>
      <c r="B14" s="3">
        <v>6.1759867525138601</v>
      </c>
      <c r="C14" s="3">
        <v>4.4972191323692998</v>
      </c>
      <c r="D14">
        <v>1.67876762014456</v>
      </c>
      <c r="E14">
        <v>9.4488422719176697</v>
      </c>
      <c r="F14">
        <v>9.9257796018564708</v>
      </c>
      <c r="G14">
        <v>0.48841045982736497</v>
      </c>
      <c r="H14">
        <v>10.3358779517594</v>
      </c>
      <c r="I14">
        <v>10.8919879498998</v>
      </c>
      <c r="J14">
        <v>0.55610999814043405</v>
      </c>
      <c r="K14">
        <v>13</v>
      </c>
      <c r="L14">
        <v>21</v>
      </c>
      <c r="M14">
        <v>72</v>
      </c>
    </row>
    <row r="15" spans="1:13" x14ac:dyDescent="0.35">
      <c r="A15" s="3" t="s">
        <v>108</v>
      </c>
      <c r="B15" s="3">
        <v>3.9011455861240498</v>
      </c>
      <c r="C15" s="3">
        <v>4.5815600870565696</v>
      </c>
      <c r="D15">
        <v>-0.68041450093252198</v>
      </c>
      <c r="E15">
        <v>9.4488422719176697</v>
      </c>
      <c r="F15">
        <v>9.9257796018564708</v>
      </c>
      <c r="G15">
        <v>0.48841045982736497</v>
      </c>
      <c r="H15">
        <v>10.3358779517594</v>
      </c>
      <c r="I15">
        <v>10.8919879498998</v>
      </c>
      <c r="J15">
        <v>0.55610999814043405</v>
      </c>
      <c r="K15">
        <v>14</v>
      </c>
      <c r="L15">
        <v>7</v>
      </c>
      <c r="M15">
        <v>29</v>
      </c>
    </row>
    <row r="16" spans="1:13" x14ac:dyDescent="0.35">
      <c r="A16" s="3" t="s">
        <v>124</v>
      </c>
      <c r="B16" s="3">
        <v>2.6097433449271401</v>
      </c>
      <c r="C16" s="3">
        <v>4.7410035174217597</v>
      </c>
      <c r="D16">
        <v>-2.1312601724946201</v>
      </c>
      <c r="E16">
        <v>9.4488422719176697</v>
      </c>
      <c r="F16">
        <v>9.9257796018564708</v>
      </c>
      <c r="G16">
        <v>0.48841045982736497</v>
      </c>
      <c r="H16">
        <v>10.3358779517594</v>
      </c>
      <c r="I16">
        <v>10.8919879498998</v>
      </c>
      <c r="J16">
        <v>0.55610999814043405</v>
      </c>
      <c r="K16">
        <v>15</v>
      </c>
      <c r="L16">
        <v>2</v>
      </c>
      <c r="M16">
        <v>13</v>
      </c>
    </row>
    <row r="17" spans="1:13" x14ac:dyDescent="0.35">
      <c r="A17" s="3" t="s">
        <v>96</v>
      </c>
      <c r="B17" s="3">
        <v>6.32092638544251</v>
      </c>
      <c r="C17" s="3">
        <v>5.2279174088000504</v>
      </c>
      <c r="D17">
        <v>1.09300897664246</v>
      </c>
      <c r="E17">
        <v>9.4488422719176697</v>
      </c>
      <c r="F17">
        <v>9.9257796018564708</v>
      </c>
      <c r="G17">
        <v>0.48841045982736497</v>
      </c>
      <c r="H17">
        <v>10.3358779517594</v>
      </c>
      <c r="I17">
        <v>10.8919879498998</v>
      </c>
      <c r="J17">
        <v>0.55610999814043405</v>
      </c>
      <c r="K17">
        <v>16</v>
      </c>
      <c r="L17">
        <v>23</v>
      </c>
      <c r="M17">
        <v>64</v>
      </c>
    </row>
    <row r="18" spans="1:13" x14ac:dyDescent="0.35">
      <c r="A18" s="3" t="s">
        <v>123</v>
      </c>
      <c r="B18" s="3">
        <v>5.40693952971582</v>
      </c>
      <c r="C18" s="3">
        <v>5.3454085668549798</v>
      </c>
      <c r="D18">
        <v>6.15309628608465E-2</v>
      </c>
      <c r="E18">
        <v>9.4488422719176697</v>
      </c>
      <c r="F18">
        <v>9.9257796018564708</v>
      </c>
      <c r="G18">
        <v>0.48841045982736497</v>
      </c>
      <c r="H18">
        <v>10.3358779517594</v>
      </c>
      <c r="I18">
        <v>10.8919879498998</v>
      </c>
      <c r="J18">
        <v>0.55610999814043405</v>
      </c>
      <c r="K18">
        <v>17</v>
      </c>
      <c r="L18">
        <v>15</v>
      </c>
      <c r="M18">
        <v>43</v>
      </c>
    </row>
    <row r="19" spans="1:13" x14ac:dyDescent="0.35">
      <c r="A19" s="3" t="s">
        <v>131</v>
      </c>
      <c r="B19" s="3">
        <v>6.7625187177990398</v>
      </c>
      <c r="C19" s="3">
        <v>5.4136217856018103</v>
      </c>
      <c r="D19">
        <v>1.3488969321972299</v>
      </c>
      <c r="E19">
        <v>9.4488422719176697</v>
      </c>
      <c r="F19">
        <v>9.9257796018564708</v>
      </c>
      <c r="G19">
        <v>0.48841045982736497</v>
      </c>
      <c r="H19">
        <v>10.3358779517594</v>
      </c>
      <c r="I19">
        <v>10.8919879498998</v>
      </c>
      <c r="J19">
        <v>0.55610999814043405</v>
      </c>
      <c r="K19">
        <v>18</v>
      </c>
      <c r="L19">
        <v>27</v>
      </c>
      <c r="M19">
        <v>68</v>
      </c>
    </row>
    <row r="20" spans="1:13" x14ac:dyDescent="0.35">
      <c r="A20" s="3" t="s">
        <v>97</v>
      </c>
      <c r="B20" s="3">
        <v>14.872783779229801</v>
      </c>
      <c r="C20" s="3">
        <v>5.4767334575144098</v>
      </c>
      <c r="D20">
        <v>9.3960503217153697</v>
      </c>
      <c r="E20">
        <v>9.4488422719176697</v>
      </c>
      <c r="F20">
        <v>9.9257796018564708</v>
      </c>
      <c r="G20">
        <v>0.48841045982736497</v>
      </c>
      <c r="H20">
        <v>10.3358779517594</v>
      </c>
      <c r="I20">
        <v>10.8919879498998</v>
      </c>
      <c r="J20">
        <v>0.55610999814043405</v>
      </c>
      <c r="K20">
        <v>19</v>
      </c>
      <c r="L20">
        <v>91</v>
      </c>
      <c r="M20">
        <v>106</v>
      </c>
    </row>
    <row r="21" spans="1:13" x14ac:dyDescent="0.35">
      <c r="A21" s="3" t="s">
        <v>58</v>
      </c>
      <c r="B21" s="3">
        <v>6.1573909961006699</v>
      </c>
      <c r="C21" s="3">
        <v>5.6689805362733097</v>
      </c>
      <c r="D21">
        <v>0.48841045982736497</v>
      </c>
      <c r="E21">
        <v>9.4488422719176697</v>
      </c>
      <c r="F21">
        <v>9.9257796018564708</v>
      </c>
      <c r="G21">
        <v>0.48841045982736497</v>
      </c>
      <c r="H21">
        <v>10.3358779517594</v>
      </c>
      <c r="I21">
        <v>10.8919879498998</v>
      </c>
      <c r="J21">
        <v>0.55610999814043405</v>
      </c>
      <c r="K21">
        <v>20</v>
      </c>
      <c r="L21">
        <v>20</v>
      </c>
      <c r="M21">
        <v>54</v>
      </c>
    </row>
    <row r="22" spans="1:13" x14ac:dyDescent="0.35">
      <c r="A22" s="3" t="s">
        <v>125</v>
      </c>
      <c r="B22" s="3">
        <v>4.00739719813674</v>
      </c>
      <c r="C22" s="3">
        <v>5.6712845923079502</v>
      </c>
      <c r="D22">
        <v>-1.66388739417121</v>
      </c>
      <c r="E22">
        <v>9.4488422719176697</v>
      </c>
      <c r="F22">
        <v>9.9257796018564708</v>
      </c>
      <c r="G22">
        <v>0.48841045982736497</v>
      </c>
      <c r="H22">
        <v>10.3358779517594</v>
      </c>
      <c r="I22">
        <v>10.8919879498998</v>
      </c>
      <c r="J22">
        <v>0.55610999814043405</v>
      </c>
      <c r="K22">
        <v>21</v>
      </c>
      <c r="L22">
        <v>8</v>
      </c>
      <c r="M22">
        <v>17</v>
      </c>
    </row>
    <row r="23" spans="1:13" x14ac:dyDescent="0.35">
      <c r="A23" s="3" t="s">
        <v>92</v>
      </c>
      <c r="B23" s="3">
        <v>5.1091365655785204</v>
      </c>
      <c r="C23" s="3">
        <v>5.8984776543149398</v>
      </c>
      <c r="D23">
        <v>-0.78934108873642295</v>
      </c>
      <c r="E23">
        <v>9.4488422719176697</v>
      </c>
      <c r="F23">
        <v>9.9257796018564708</v>
      </c>
      <c r="G23">
        <v>0.48841045982736497</v>
      </c>
      <c r="H23">
        <v>10.3358779517594</v>
      </c>
      <c r="I23">
        <v>10.8919879498998</v>
      </c>
      <c r="J23">
        <v>0.55610999814043405</v>
      </c>
      <c r="K23">
        <v>22</v>
      </c>
      <c r="L23">
        <v>13</v>
      </c>
      <c r="M23">
        <v>28</v>
      </c>
    </row>
    <row r="24" spans="1:13" x14ac:dyDescent="0.35">
      <c r="A24" s="3" t="s">
        <v>52</v>
      </c>
      <c r="B24" s="3">
        <v>9.6408455855460495</v>
      </c>
      <c r="C24" s="3">
        <v>5.9189382216402802</v>
      </c>
      <c r="D24">
        <v>3.7219073639057698</v>
      </c>
      <c r="E24">
        <v>9.4488422719176697</v>
      </c>
      <c r="F24">
        <v>9.9257796018564708</v>
      </c>
      <c r="G24">
        <v>0.48841045982736497</v>
      </c>
      <c r="H24">
        <v>10.3358779517594</v>
      </c>
      <c r="I24">
        <v>10.8919879498998</v>
      </c>
      <c r="J24">
        <v>0.55610999814043405</v>
      </c>
      <c r="K24">
        <v>23</v>
      </c>
      <c r="L24">
        <v>52</v>
      </c>
      <c r="M24">
        <v>94</v>
      </c>
    </row>
    <row r="25" spans="1:13" x14ac:dyDescent="0.35">
      <c r="A25" s="3" t="s">
        <v>57</v>
      </c>
      <c r="B25" s="3">
        <v>6.1280517697813499</v>
      </c>
      <c r="C25" s="3">
        <v>5.9845855451204599</v>
      </c>
      <c r="D25">
        <v>0.14346622466089401</v>
      </c>
      <c r="E25">
        <v>9.4488422719176697</v>
      </c>
      <c r="F25">
        <v>9.9257796018564708</v>
      </c>
      <c r="G25">
        <v>0.48841045982736497</v>
      </c>
      <c r="H25">
        <v>10.3358779517594</v>
      </c>
      <c r="I25">
        <v>10.8919879498998</v>
      </c>
      <c r="J25">
        <v>0.55610999814043405</v>
      </c>
      <c r="K25">
        <v>24</v>
      </c>
      <c r="L25">
        <v>19</v>
      </c>
      <c r="M25">
        <v>47</v>
      </c>
    </row>
    <row r="26" spans="1:13" x14ac:dyDescent="0.35">
      <c r="A26" s="3" t="s">
        <v>104</v>
      </c>
      <c r="B26" s="3">
        <v>9.1460608342747207</v>
      </c>
      <c r="C26" s="3">
        <v>6.0783120308378997</v>
      </c>
      <c r="D26">
        <v>3.0677488034368201</v>
      </c>
      <c r="E26">
        <v>9.4488422719176697</v>
      </c>
      <c r="F26">
        <v>9.9257796018564708</v>
      </c>
      <c r="G26">
        <v>0.48841045982736497</v>
      </c>
      <c r="H26">
        <v>10.3358779517594</v>
      </c>
      <c r="I26">
        <v>10.8919879498998</v>
      </c>
      <c r="J26">
        <v>0.55610999814043405</v>
      </c>
      <c r="K26">
        <v>25</v>
      </c>
      <c r="L26">
        <v>46</v>
      </c>
      <c r="M26">
        <v>87</v>
      </c>
    </row>
    <row r="27" spans="1:13" x14ac:dyDescent="0.35">
      <c r="A27" s="3" t="s">
        <v>62</v>
      </c>
      <c r="B27" s="3">
        <v>5.2511926700308296</v>
      </c>
      <c r="C27" s="3">
        <v>6.2550216250405999</v>
      </c>
      <c r="D27">
        <v>-1.0038289550097701</v>
      </c>
      <c r="E27">
        <v>9.4488422719176697</v>
      </c>
      <c r="F27">
        <v>9.9257796018564708</v>
      </c>
      <c r="G27">
        <v>0.48841045982736497</v>
      </c>
      <c r="H27">
        <v>10.3358779517594</v>
      </c>
      <c r="I27">
        <v>10.8919879498998</v>
      </c>
      <c r="J27">
        <v>0.55610999814043405</v>
      </c>
      <c r="K27">
        <v>26</v>
      </c>
      <c r="L27">
        <v>14</v>
      </c>
      <c r="M27">
        <v>25</v>
      </c>
    </row>
    <row r="28" spans="1:13" x14ac:dyDescent="0.35">
      <c r="A28" s="3" t="s">
        <v>61</v>
      </c>
      <c r="B28" s="3">
        <v>4.58967073374561</v>
      </c>
      <c r="C28" s="3">
        <v>6.3015955601803704</v>
      </c>
      <c r="D28">
        <v>-1.71192482643476</v>
      </c>
      <c r="E28">
        <v>9.4488422719176697</v>
      </c>
      <c r="F28">
        <v>9.9257796018564708</v>
      </c>
      <c r="G28">
        <v>0.48841045982736497</v>
      </c>
      <c r="H28">
        <v>10.3358779517594</v>
      </c>
      <c r="I28">
        <v>10.8919879498998</v>
      </c>
      <c r="J28">
        <v>0.55610999814043405</v>
      </c>
      <c r="K28">
        <v>27</v>
      </c>
      <c r="L28">
        <v>11</v>
      </c>
      <c r="M28">
        <v>16</v>
      </c>
    </row>
    <row r="29" spans="1:13" x14ac:dyDescent="0.35">
      <c r="A29" s="3" t="s">
        <v>67</v>
      </c>
      <c r="B29" s="3">
        <v>6.4475680048538804</v>
      </c>
      <c r="C29" s="3">
        <v>6.3122515063327498</v>
      </c>
      <c r="D29">
        <v>0.13531649852113101</v>
      </c>
      <c r="E29">
        <v>9.4488422719176697</v>
      </c>
      <c r="F29">
        <v>9.9257796018564708</v>
      </c>
      <c r="G29">
        <v>0.48841045982736497</v>
      </c>
      <c r="H29">
        <v>10.3358779517594</v>
      </c>
      <c r="I29">
        <v>10.8919879498998</v>
      </c>
      <c r="J29">
        <v>0.55610999814043405</v>
      </c>
      <c r="K29">
        <v>28</v>
      </c>
      <c r="L29">
        <v>25</v>
      </c>
      <c r="M29">
        <v>46</v>
      </c>
    </row>
    <row r="30" spans="1:13" x14ac:dyDescent="0.35">
      <c r="A30" s="3" t="s">
        <v>136</v>
      </c>
      <c r="B30" s="3">
        <v>5.7999474665098996</v>
      </c>
      <c r="C30" s="3">
        <v>6.3533585136790496</v>
      </c>
      <c r="D30">
        <v>-0.55341104716915301</v>
      </c>
      <c r="E30">
        <v>9.4488422719176697</v>
      </c>
      <c r="F30">
        <v>9.9257796018564708</v>
      </c>
      <c r="G30">
        <v>0.48841045982736497</v>
      </c>
      <c r="H30">
        <v>10.3358779517594</v>
      </c>
      <c r="I30">
        <v>10.8919879498998</v>
      </c>
      <c r="J30">
        <v>0.55610999814043405</v>
      </c>
      <c r="K30">
        <v>29</v>
      </c>
      <c r="L30">
        <v>16</v>
      </c>
      <c r="M30">
        <v>30</v>
      </c>
    </row>
    <row r="31" spans="1:13" x14ac:dyDescent="0.35">
      <c r="A31" s="3" t="s">
        <v>48</v>
      </c>
      <c r="B31" s="3">
        <v>6.4273282875298499</v>
      </c>
      <c r="C31" s="3">
        <v>6.6276137438268403</v>
      </c>
      <c r="D31">
        <v>-0.20028545629698699</v>
      </c>
      <c r="E31">
        <v>9.4488422719176697</v>
      </c>
      <c r="F31">
        <v>9.9257796018564708</v>
      </c>
      <c r="G31">
        <v>0.48841045982736497</v>
      </c>
      <c r="H31">
        <v>10.3358779517594</v>
      </c>
      <c r="I31">
        <v>10.8919879498998</v>
      </c>
      <c r="J31">
        <v>0.55610999814043405</v>
      </c>
      <c r="K31">
        <v>30</v>
      </c>
      <c r="L31">
        <v>24</v>
      </c>
      <c r="M31">
        <v>37</v>
      </c>
    </row>
    <row r="32" spans="1:13" x14ac:dyDescent="0.35">
      <c r="A32" s="3" t="s">
        <v>56</v>
      </c>
      <c r="B32" s="3">
        <v>11.4780842157104</v>
      </c>
      <c r="C32" s="3">
        <v>6.6475778529146003</v>
      </c>
      <c r="D32">
        <v>4.8305063627958198</v>
      </c>
      <c r="E32">
        <v>9.4488422719176697</v>
      </c>
      <c r="F32">
        <v>9.9257796018564708</v>
      </c>
      <c r="G32">
        <v>0.48841045982736497</v>
      </c>
      <c r="H32">
        <v>10.3358779517594</v>
      </c>
      <c r="I32">
        <v>10.8919879498998</v>
      </c>
      <c r="J32">
        <v>0.55610999814043405</v>
      </c>
      <c r="K32">
        <v>31</v>
      </c>
      <c r="L32">
        <v>67</v>
      </c>
      <c r="M32">
        <v>100</v>
      </c>
    </row>
    <row r="33" spans="1:13" x14ac:dyDescent="0.35">
      <c r="A33" s="3" t="s">
        <v>115</v>
      </c>
      <c r="B33" s="3">
        <v>7.8370628001520197</v>
      </c>
      <c r="C33" s="3">
        <v>6.8177425040080903</v>
      </c>
      <c r="D33">
        <v>1.0193202961439201</v>
      </c>
      <c r="E33">
        <v>9.4488422719176697</v>
      </c>
      <c r="F33">
        <v>9.9257796018564708</v>
      </c>
      <c r="G33">
        <v>0.48841045982736497</v>
      </c>
      <c r="H33">
        <v>10.3358779517594</v>
      </c>
      <c r="I33">
        <v>10.8919879498998</v>
      </c>
      <c r="J33">
        <v>0.55610999814043405</v>
      </c>
      <c r="K33">
        <v>32</v>
      </c>
      <c r="L33">
        <v>33</v>
      </c>
      <c r="M33">
        <v>63</v>
      </c>
    </row>
    <row r="34" spans="1:13" x14ac:dyDescent="0.35">
      <c r="A34" s="3" t="s">
        <v>121</v>
      </c>
      <c r="B34" s="3">
        <v>7.20464322039434</v>
      </c>
      <c r="C34" s="3">
        <v>6.9097817179468102</v>
      </c>
      <c r="D34">
        <v>0.29486150244753101</v>
      </c>
      <c r="E34">
        <v>9.4488422719176697</v>
      </c>
      <c r="F34">
        <v>9.9257796018564708</v>
      </c>
      <c r="G34">
        <v>0.48841045982736497</v>
      </c>
      <c r="H34">
        <v>10.3358779517594</v>
      </c>
      <c r="I34">
        <v>10.8919879498998</v>
      </c>
      <c r="J34">
        <v>0.55610999814043405</v>
      </c>
      <c r="K34">
        <v>33</v>
      </c>
      <c r="L34">
        <v>29</v>
      </c>
      <c r="M34">
        <v>49</v>
      </c>
    </row>
    <row r="35" spans="1:13" x14ac:dyDescent="0.35">
      <c r="A35" s="3" t="s">
        <v>0</v>
      </c>
      <c r="B35" s="3">
        <v>4.0947736934233596</v>
      </c>
      <c r="C35" s="3">
        <v>7.0073698199830901</v>
      </c>
      <c r="D35">
        <v>-2.91259612655973</v>
      </c>
      <c r="E35">
        <v>9.4488422719176697</v>
      </c>
      <c r="F35">
        <v>9.9257796018564708</v>
      </c>
      <c r="G35">
        <v>0.48841045982736497</v>
      </c>
      <c r="H35">
        <v>10.3358779517594</v>
      </c>
      <c r="I35">
        <v>10.8919879498998</v>
      </c>
      <c r="J35">
        <v>0.55610999814043405</v>
      </c>
      <c r="K35">
        <v>34</v>
      </c>
      <c r="L35">
        <v>9</v>
      </c>
      <c r="M35">
        <v>9</v>
      </c>
    </row>
    <row r="36" spans="1:13" x14ac:dyDescent="0.35">
      <c r="A36" s="3" t="s">
        <v>46</v>
      </c>
      <c r="B36" s="3">
        <v>10.1905659963597</v>
      </c>
      <c r="C36" s="3">
        <v>7.0330600605952602</v>
      </c>
      <c r="D36">
        <v>3.1575059357644699</v>
      </c>
      <c r="E36">
        <v>9.4488422719176697</v>
      </c>
      <c r="F36">
        <v>9.9257796018564708</v>
      </c>
      <c r="G36">
        <v>0.48841045982736497</v>
      </c>
      <c r="H36">
        <v>10.3358779517594</v>
      </c>
      <c r="I36">
        <v>10.8919879498998</v>
      </c>
      <c r="J36">
        <v>0.55610999814043405</v>
      </c>
      <c r="K36">
        <v>35</v>
      </c>
      <c r="L36">
        <v>58</v>
      </c>
      <c r="M36">
        <v>88</v>
      </c>
    </row>
    <row r="37" spans="1:13" x14ac:dyDescent="0.35">
      <c r="A37" s="3" t="s">
        <v>135</v>
      </c>
      <c r="B37" s="3">
        <v>8.9986504009103196</v>
      </c>
      <c r="C37" s="3">
        <v>7.0676523297490998</v>
      </c>
      <c r="D37">
        <v>1.93099807116121</v>
      </c>
      <c r="E37">
        <v>9.4488422719176697</v>
      </c>
      <c r="F37">
        <v>9.9257796018564708</v>
      </c>
      <c r="G37">
        <v>0.48841045982736497</v>
      </c>
      <c r="H37">
        <v>10.3358779517594</v>
      </c>
      <c r="I37">
        <v>10.8919879498998</v>
      </c>
      <c r="J37">
        <v>0.55610999814043405</v>
      </c>
      <c r="K37">
        <v>36</v>
      </c>
      <c r="L37">
        <v>44</v>
      </c>
      <c r="M37">
        <v>77</v>
      </c>
    </row>
    <row r="38" spans="1:13" x14ac:dyDescent="0.35">
      <c r="A38" s="3" t="s">
        <v>126</v>
      </c>
      <c r="B38" s="3">
        <v>8.1532398154547305</v>
      </c>
      <c r="C38" s="3">
        <v>7.2216558654336298</v>
      </c>
      <c r="D38">
        <v>0.93158395002110606</v>
      </c>
      <c r="E38">
        <v>9.4488422719176697</v>
      </c>
      <c r="F38">
        <v>9.9257796018564708</v>
      </c>
      <c r="G38">
        <v>0.48841045982736497</v>
      </c>
      <c r="H38">
        <v>10.3358779517594</v>
      </c>
      <c r="I38">
        <v>10.8919879498998</v>
      </c>
      <c r="J38">
        <v>0.55610999814043405</v>
      </c>
      <c r="K38">
        <v>37</v>
      </c>
      <c r="L38">
        <v>34</v>
      </c>
      <c r="M38">
        <v>61</v>
      </c>
    </row>
    <row r="39" spans="1:13" x14ac:dyDescent="0.35">
      <c r="A39" s="3" t="s">
        <v>88</v>
      </c>
      <c r="B39" s="3">
        <v>7.6606282112399997</v>
      </c>
      <c r="C39" s="3">
        <v>7.64510951172785</v>
      </c>
      <c r="D39">
        <v>1.55186995121515E-2</v>
      </c>
      <c r="E39">
        <v>9.4488422719176697</v>
      </c>
      <c r="F39">
        <v>9.9257796018564708</v>
      </c>
      <c r="G39">
        <v>0.48841045982736497</v>
      </c>
      <c r="H39">
        <v>10.3358779517594</v>
      </c>
      <c r="I39">
        <v>10.8919879498998</v>
      </c>
      <c r="J39">
        <v>0.55610999814043405</v>
      </c>
      <c r="K39">
        <v>38</v>
      </c>
      <c r="L39">
        <v>32</v>
      </c>
      <c r="M39">
        <v>42</v>
      </c>
    </row>
    <row r="40" spans="1:13" x14ac:dyDescent="0.35">
      <c r="A40" s="3" t="s">
        <v>79</v>
      </c>
      <c r="B40" s="3">
        <v>6.7206554362815396</v>
      </c>
      <c r="C40" s="3">
        <v>7.6587055417700602</v>
      </c>
      <c r="D40">
        <v>-0.93805010548852297</v>
      </c>
      <c r="E40">
        <v>9.4488422719176697</v>
      </c>
      <c r="F40">
        <v>9.9257796018564708</v>
      </c>
      <c r="G40">
        <v>0.48841045982736497</v>
      </c>
      <c r="H40">
        <v>10.3358779517594</v>
      </c>
      <c r="I40">
        <v>10.8919879498998</v>
      </c>
      <c r="J40">
        <v>0.55610999814043405</v>
      </c>
      <c r="K40">
        <v>39</v>
      </c>
      <c r="L40">
        <v>26</v>
      </c>
      <c r="M40">
        <v>26</v>
      </c>
    </row>
    <row r="41" spans="1:13" x14ac:dyDescent="0.35">
      <c r="A41" s="3" t="s">
        <v>85</v>
      </c>
      <c r="B41" s="3">
        <v>8.6439778825161699</v>
      </c>
      <c r="C41" s="3">
        <v>7.9274596655632603</v>
      </c>
      <c r="D41">
        <v>0.71651821695291096</v>
      </c>
      <c r="E41">
        <v>9.4488422719176697</v>
      </c>
      <c r="F41">
        <v>9.9257796018564708</v>
      </c>
      <c r="G41">
        <v>0.48841045982736497</v>
      </c>
      <c r="H41">
        <v>10.3358779517594</v>
      </c>
      <c r="I41">
        <v>10.8919879498998</v>
      </c>
      <c r="J41">
        <v>0.55610999814043405</v>
      </c>
      <c r="K41">
        <v>40</v>
      </c>
      <c r="L41">
        <v>38</v>
      </c>
      <c r="M41">
        <v>56</v>
      </c>
    </row>
    <row r="42" spans="1:13" x14ac:dyDescent="0.35">
      <c r="A42" s="3" t="s">
        <v>103</v>
      </c>
      <c r="B42" s="3">
        <v>10.175635015044399</v>
      </c>
      <c r="C42" s="3">
        <v>8.0553559097507001</v>
      </c>
      <c r="D42">
        <v>2.1202791052937302</v>
      </c>
      <c r="E42">
        <v>9.4488422719176697</v>
      </c>
      <c r="F42">
        <v>9.9257796018564708</v>
      </c>
      <c r="G42">
        <v>0.48841045982736497</v>
      </c>
      <c r="H42">
        <v>10.3358779517594</v>
      </c>
      <c r="I42">
        <v>10.8919879498998</v>
      </c>
      <c r="J42">
        <v>0.55610999814043405</v>
      </c>
      <c r="K42">
        <v>41</v>
      </c>
      <c r="L42">
        <v>57</v>
      </c>
      <c r="M42">
        <v>81</v>
      </c>
    </row>
    <row r="43" spans="1:13" x14ac:dyDescent="0.35">
      <c r="A43" s="3" t="s">
        <v>120</v>
      </c>
      <c r="B43" s="3">
        <v>9.4568513923352597</v>
      </c>
      <c r="C43" s="3">
        <v>8.2964299955925895</v>
      </c>
      <c r="D43">
        <v>1.16042139674268</v>
      </c>
      <c r="E43">
        <v>9.4488422719176697</v>
      </c>
      <c r="F43">
        <v>9.9257796018564708</v>
      </c>
      <c r="G43">
        <v>0.48841045982736497</v>
      </c>
      <c r="H43">
        <v>10.3358779517594</v>
      </c>
      <c r="I43">
        <v>10.8919879498998</v>
      </c>
      <c r="J43">
        <v>0.55610999814043405</v>
      </c>
      <c r="K43">
        <v>42</v>
      </c>
      <c r="L43">
        <v>51</v>
      </c>
      <c r="M43">
        <v>66</v>
      </c>
    </row>
    <row r="44" spans="1:13" x14ac:dyDescent="0.35">
      <c r="A44" s="3" t="s">
        <v>81</v>
      </c>
      <c r="B44" s="3">
        <v>9.39247311827957</v>
      </c>
      <c r="C44" s="3">
        <v>8.4259484095111805</v>
      </c>
      <c r="D44">
        <v>0.96652470876838903</v>
      </c>
      <c r="E44">
        <v>9.4488422719176697</v>
      </c>
      <c r="F44">
        <v>9.9257796018564708</v>
      </c>
      <c r="G44">
        <v>0.48841045982736497</v>
      </c>
      <c r="H44">
        <v>10.3358779517594</v>
      </c>
      <c r="I44">
        <v>10.8919879498998</v>
      </c>
      <c r="J44">
        <v>0.55610999814043405</v>
      </c>
      <c r="K44">
        <v>43</v>
      </c>
      <c r="L44">
        <v>49</v>
      </c>
      <c r="M44">
        <v>62</v>
      </c>
    </row>
    <row r="45" spans="1:13" x14ac:dyDescent="0.35">
      <c r="A45" s="3" t="s">
        <v>93</v>
      </c>
      <c r="B45" s="3">
        <v>12.3332816377171</v>
      </c>
      <c r="C45" s="3">
        <v>8.5209228003595303</v>
      </c>
      <c r="D45">
        <v>3.8123588373575901</v>
      </c>
      <c r="E45">
        <v>9.4488422719176697</v>
      </c>
      <c r="F45">
        <v>9.9257796018564708</v>
      </c>
      <c r="G45">
        <v>0.48841045982736497</v>
      </c>
      <c r="H45">
        <v>10.3358779517594</v>
      </c>
      <c r="I45">
        <v>10.8919879498998</v>
      </c>
      <c r="J45">
        <v>0.55610999814043405</v>
      </c>
      <c r="K45">
        <v>44</v>
      </c>
      <c r="L45">
        <v>73</v>
      </c>
      <c r="M45">
        <v>95</v>
      </c>
    </row>
    <row r="46" spans="1:13" x14ac:dyDescent="0.35">
      <c r="A46" s="3" t="s">
        <v>77</v>
      </c>
      <c r="B46" s="3">
        <v>8.7736566596572896</v>
      </c>
      <c r="C46" s="3">
        <v>8.5638285881742995</v>
      </c>
      <c r="D46">
        <v>0.20982807148298999</v>
      </c>
      <c r="E46">
        <v>9.4488422719176697</v>
      </c>
      <c r="F46">
        <v>9.9257796018564708</v>
      </c>
      <c r="G46">
        <v>0.48841045982736497</v>
      </c>
      <c r="H46">
        <v>10.3358779517594</v>
      </c>
      <c r="I46">
        <v>10.8919879498998</v>
      </c>
      <c r="J46">
        <v>0.55610999814043405</v>
      </c>
      <c r="K46">
        <v>45</v>
      </c>
      <c r="L46">
        <v>39</v>
      </c>
      <c r="M46">
        <v>48</v>
      </c>
    </row>
    <row r="47" spans="1:13" x14ac:dyDescent="0.35">
      <c r="A47" s="3" t="s">
        <v>41</v>
      </c>
      <c r="B47" s="3">
        <v>8.2993564376224196</v>
      </c>
      <c r="C47" s="3">
        <v>8.5814270037066898</v>
      </c>
      <c r="D47">
        <v>-0.28207056608427</v>
      </c>
      <c r="E47">
        <v>9.4488422719176697</v>
      </c>
      <c r="F47">
        <v>9.9257796018564708</v>
      </c>
      <c r="G47">
        <v>0.48841045982736497</v>
      </c>
      <c r="H47">
        <v>10.3358779517594</v>
      </c>
      <c r="I47">
        <v>10.8919879498998</v>
      </c>
      <c r="J47">
        <v>0.55610999814043405</v>
      </c>
      <c r="K47">
        <v>46</v>
      </c>
      <c r="L47">
        <v>35</v>
      </c>
      <c r="M47">
        <v>34</v>
      </c>
    </row>
    <row r="48" spans="1:13" x14ac:dyDescent="0.35">
      <c r="A48" s="3" t="s">
        <v>55</v>
      </c>
      <c r="B48" s="3">
        <v>6.2649218231101997</v>
      </c>
      <c r="C48" s="3">
        <v>8.6322616778529593</v>
      </c>
      <c r="D48">
        <v>-2.3673398547427502</v>
      </c>
      <c r="E48">
        <v>9.4488422719176697</v>
      </c>
      <c r="F48">
        <v>9.9257796018564708</v>
      </c>
      <c r="G48">
        <v>0.48841045982736497</v>
      </c>
      <c r="H48">
        <v>10.3358779517594</v>
      </c>
      <c r="I48">
        <v>10.8919879498998</v>
      </c>
      <c r="J48">
        <v>0.55610999814043405</v>
      </c>
      <c r="K48">
        <v>47</v>
      </c>
      <c r="L48">
        <v>22</v>
      </c>
      <c r="M48">
        <v>12</v>
      </c>
    </row>
    <row r="49" spans="1:13" x14ac:dyDescent="0.35">
      <c r="A49" s="3" t="s">
        <v>84</v>
      </c>
      <c r="B49" s="3">
        <v>10.304037852872501</v>
      </c>
      <c r="C49" s="3">
        <v>8.6884048768097593</v>
      </c>
      <c r="D49">
        <v>1.6156329760627799</v>
      </c>
      <c r="E49">
        <v>9.4488422719176697</v>
      </c>
      <c r="F49">
        <v>9.9257796018564708</v>
      </c>
      <c r="G49">
        <v>0.48841045982736497</v>
      </c>
      <c r="H49">
        <v>10.3358779517594</v>
      </c>
      <c r="I49">
        <v>10.8919879498998</v>
      </c>
      <c r="J49">
        <v>0.55610999814043405</v>
      </c>
      <c r="K49">
        <v>48</v>
      </c>
      <c r="L49">
        <v>59</v>
      </c>
      <c r="M49">
        <v>70</v>
      </c>
    </row>
    <row r="50" spans="1:13" x14ac:dyDescent="0.35">
      <c r="A50" s="3" t="s">
        <v>63</v>
      </c>
      <c r="B50" s="3">
        <v>7.3526198120661004</v>
      </c>
      <c r="C50" s="3">
        <v>8.8121142711713407</v>
      </c>
      <c r="D50">
        <v>-1.4594944591052501</v>
      </c>
      <c r="E50">
        <v>9.4488422719176697</v>
      </c>
      <c r="F50">
        <v>9.9257796018564708</v>
      </c>
      <c r="G50">
        <v>0.48841045982736497</v>
      </c>
      <c r="H50">
        <v>10.3358779517594</v>
      </c>
      <c r="I50">
        <v>10.8919879498998</v>
      </c>
      <c r="J50">
        <v>0.55610999814043405</v>
      </c>
      <c r="K50">
        <v>49</v>
      </c>
      <c r="L50">
        <v>30</v>
      </c>
      <c r="M50">
        <v>20</v>
      </c>
    </row>
    <row r="51" spans="1:13" x14ac:dyDescent="0.35">
      <c r="A51" s="3" t="s">
        <v>59</v>
      </c>
      <c r="B51" s="3">
        <v>8.4057670366144599</v>
      </c>
      <c r="C51" s="3">
        <v>8.8206579130885192</v>
      </c>
      <c r="D51">
        <v>-0.41489087647406497</v>
      </c>
      <c r="E51">
        <v>9.4488422719176697</v>
      </c>
      <c r="F51">
        <v>9.9257796018564708</v>
      </c>
      <c r="G51">
        <v>0.48841045982736497</v>
      </c>
      <c r="H51">
        <v>10.3358779517594</v>
      </c>
      <c r="I51">
        <v>10.8919879498998</v>
      </c>
      <c r="J51">
        <v>0.55610999814043405</v>
      </c>
      <c r="K51">
        <v>50</v>
      </c>
      <c r="L51">
        <v>36</v>
      </c>
      <c r="M51">
        <v>33</v>
      </c>
    </row>
    <row r="52" spans="1:13" x14ac:dyDescent="0.35">
      <c r="A52" s="3" t="s">
        <v>71</v>
      </c>
      <c r="B52" s="3">
        <v>10.7603755273045</v>
      </c>
      <c r="C52" s="3">
        <v>9.1088350722695495</v>
      </c>
      <c r="D52">
        <v>1.6515404550349799</v>
      </c>
      <c r="E52">
        <v>9.4488422719176697</v>
      </c>
      <c r="F52">
        <v>9.9257796018564708</v>
      </c>
      <c r="G52">
        <v>0.48841045982736497</v>
      </c>
      <c r="H52">
        <v>10.3358779517594</v>
      </c>
      <c r="I52">
        <v>10.8919879498998</v>
      </c>
      <c r="J52">
        <v>0.55610999814043405</v>
      </c>
      <c r="K52">
        <v>51</v>
      </c>
      <c r="L52">
        <v>61</v>
      </c>
      <c r="M52">
        <v>71</v>
      </c>
    </row>
    <row r="53" spans="1:13" x14ac:dyDescent="0.35">
      <c r="A53" s="3" t="s">
        <v>112</v>
      </c>
      <c r="B53" s="3">
        <v>11.0528204695153</v>
      </c>
      <c r="C53" s="3">
        <v>9.2857303649010596</v>
      </c>
      <c r="D53">
        <v>1.76709010461422</v>
      </c>
      <c r="E53">
        <v>9.4488422719176697</v>
      </c>
      <c r="F53">
        <v>9.9257796018564708</v>
      </c>
      <c r="G53">
        <v>0.48841045982736497</v>
      </c>
      <c r="H53">
        <v>10.3358779517594</v>
      </c>
      <c r="I53">
        <v>10.8919879498998</v>
      </c>
      <c r="J53">
        <v>0.55610999814043405</v>
      </c>
      <c r="K53">
        <v>52</v>
      </c>
      <c r="L53">
        <v>62</v>
      </c>
      <c r="M53">
        <v>73</v>
      </c>
    </row>
    <row r="54" spans="1:13" x14ac:dyDescent="0.35">
      <c r="A54" s="3" t="s">
        <v>66</v>
      </c>
      <c r="B54" s="3">
        <v>10.0974819076319</v>
      </c>
      <c r="C54" s="3">
        <v>9.3645023238691305</v>
      </c>
      <c r="D54">
        <v>0.73297958376277195</v>
      </c>
      <c r="E54">
        <v>9.4488422719176697</v>
      </c>
      <c r="F54">
        <v>9.9257796018564708</v>
      </c>
      <c r="G54">
        <v>0.48841045982736497</v>
      </c>
      <c r="H54">
        <v>10.3358779517594</v>
      </c>
      <c r="I54">
        <v>10.8919879498998</v>
      </c>
      <c r="J54">
        <v>0.55610999814043405</v>
      </c>
      <c r="K54">
        <v>53</v>
      </c>
      <c r="L54">
        <v>56</v>
      </c>
      <c r="M54">
        <v>58</v>
      </c>
    </row>
    <row r="55" spans="1:13" x14ac:dyDescent="0.35">
      <c r="A55" s="3" t="s">
        <v>42</v>
      </c>
      <c r="B55" s="3">
        <v>9.9257796018564708</v>
      </c>
      <c r="C55" s="3">
        <v>9.4488422719176697</v>
      </c>
      <c r="D55">
        <v>0.47693732993879601</v>
      </c>
      <c r="E55">
        <v>9.4488422719176697</v>
      </c>
      <c r="F55">
        <v>9.9257796018564708</v>
      </c>
      <c r="G55">
        <v>0.48841045982736497</v>
      </c>
      <c r="H55">
        <v>10.3358779517594</v>
      </c>
      <c r="I55">
        <v>10.8919879498998</v>
      </c>
      <c r="J55">
        <v>0.55610999814043405</v>
      </c>
      <c r="K55">
        <v>54</v>
      </c>
      <c r="L55">
        <v>54</v>
      </c>
      <c r="M55">
        <v>52</v>
      </c>
    </row>
    <row r="56" spans="1:13" x14ac:dyDescent="0.35">
      <c r="A56" s="3" t="s">
        <v>73</v>
      </c>
      <c r="B56" s="3">
        <v>9.7100107403429501</v>
      </c>
      <c r="C56" s="3">
        <v>9.6001901027743095</v>
      </c>
      <c r="D56">
        <v>0.109820637568637</v>
      </c>
      <c r="E56">
        <v>9.4488422719176697</v>
      </c>
      <c r="F56">
        <v>9.9257796018564708</v>
      </c>
      <c r="G56">
        <v>0.48841045982736497</v>
      </c>
      <c r="H56">
        <v>10.3358779517594</v>
      </c>
      <c r="I56">
        <v>10.8919879498998</v>
      </c>
      <c r="J56">
        <v>0.55610999814043405</v>
      </c>
      <c r="K56">
        <v>55</v>
      </c>
      <c r="L56">
        <v>53</v>
      </c>
      <c r="M56">
        <v>44</v>
      </c>
    </row>
    <row r="57" spans="1:13" x14ac:dyDescent="0.35">
      <c r="A57" s="3" t="s">
        <v>90</v>
      </c>
      <c r="B57" s="3">
        <v>9.3101303699879097</v>
      </c>
      <c r="C57" s="3">
        <v>9.7250455934113198</v>
      </c>
      <c r="D57">
        <v>-0.41491522342340298</v>
      </c>
      <c r="E57">
        <v>9.4488422719176697</v>
      </c>
      <c r="F57">
        <v>9.9257796018564708</v>
      </c>
      <c r="G57">
        <v>0.48841045982736497</v>
      </c>
      <c r="H57">
        <v>10.3358779517594</v>
      </c>
      <c r="I57">
        <v>10.8919879498998</v>
      </c>
      <c r="J57">
        <v>0.55610999814043405</v>
      </c>
      <c r="K57">
        <v>56</v>
      </c>
      <c r="L57">
        <v>48</v>
      </c>
      <c r="M57">
        <v>32</v>
      </c>
    </row>
    <row r="58" spans="1:13" x14ac:dyDescent="0.35">
      <c r="A58" s="3" t="s">
        <v>54</v>
      </c>
      <c r="B58" s="3">
        <v>13.2847008432606</v>
      </c>
      <c r="C58" s="3">
        <v>9.7772895236192898</v>
      </c>
      <c r="D58">
        <v>3.5074113196413101</v>
      </c>
      <c r="E58">
        <v>9.4488422719176697</v>
      </c>
      <c r="F58">
        <v>9.9257796018564708</v>
      </c>
      <c r="G58">
        <v>0.48841045982736497</v>
      </c>
      <c r="H58">
        <v>10.3358779517594</v>
      </c>
      <c r="I58">
        <v>10.8919879498998</v>
      </c>
      <c r="J58">
        <v>0.55610999814043405</v>
      </c>
      <c r="K58">
        <v>57</v>
      </c>
      <c r="L58">
        <v>81</v>
      </c>
      <c r="M58">
        <v>92</v>
      </c>
    </row>
    <row r="59" spans="1:13" x14ac:dyDescent="0.35">
      <c r="A59" s="3" t="s">
        <v>95</v>
      </c>
      <c r="B59" s="3">
        <v>12.5558001898721</v>
      </c>
      <c r="C59" s="3">
        <v>9.9977974009331003</v>
      </c>
      <c r="D59">
        <v>2.55800278893904</v>
      </c>
      <c r="E59">
        <v>9.4488422719176697</v>
      </c>
      <c r="F59">
        <v>9.9257796018564708</v>
      </c>
      <c r="G59">
        <v>0.48841045982736497</v>
      </c>
      <c r="H59">
        <v>10.3358779517594</v>
      </c>
      <c r="I59">
        <v>10.8919879498998</v>
      </c>
      <c r="J59">
        <v>0.55610999814043405</v>
      </c>
      <c r="K59">
        <v>58</v>
      </c>
      <c r="L59">
        <v>76</v>
      </c>
      <c r="M59">
        <v>84</v>
      </c>
    </row>
    <row r="60" spans="1:13" x14ac:dyDescent="0.35">
      <c r="A60" s="3" t="s">
        <v>47</v>
      </c>
      <c r="B60" s="3">
        <v>13.9558350239519</v>
      </c>
      <c r="C60" s="3">
        <v>10.066906405728099</v>
      </c>
      <c r="D60">
        <v>3.8889286182237801</v>
      </c>
      <c r="E60">
        <v>9.4488422719176697</v>
      </c>
      <c r="F60">
        <v>9.9257796018564708</v>
      </c>
      <c r="G60">
        <v>0.48841045982736497</v>
      </c>
      <c r="H60">
        <v>10.3358779517594</v>
      </c>
      <c r="I60">
        <v>10.8919879498998</v>
      </c>
      <c r="J60">
        <v>0.55610999814043405</v>
      </c>
      <c r="K60">
        <v>59</v>
      </c>
      <c r="L60">
        <v>87</v>
      </c>
      <c r="M60">
        <v>96</v>
      </c>
    </row>
    <row r="61" spans="1:13" x14ac:dyDescent="0.35">
      <c r="A61" s="3" t="s">
        <v>69</v>
      </c>
      <c r="B61" s="3">
        <v>12.645794966237</v>
      </c>
      <c r="C61" s="3">
        <v>10.088900177800401</v>
      </c>
      <c r="D61">
        <v>2.5568947884365998</v>
      </c>
      <c r="E61">
        <v>9.4488422719176697</v>
      </c>
      <c r="F61">
        <v>9.9257796018564708</v>
      </c>
      <c r="G61">
        <v>0.48841045982736497</v>
      </c>
      <c r="H61">
        <v>10.3358779517594</v>
      </c>
      <c r="I61">
        <v>10.8919879498998</v>
      </c>
      <c r="J61">
        <v>0.55610999814043405</v>
      </c>
      <c r="K61">
        <v>60</v>
      </c>
      <c r="L61">
        <v>77</v>
      </c>
      <c r="M61">
        <v>83</v>
      </c>
    </row>
    <row r="62" spans="1:13" x14ac:dyDescent="0.35">
      <c r="A62" s="3" t="s">
        <v>122</v>
      </c>
      <c r="B62" s="3">
        <v>11.965232857279</v>
      </c>
      <c r="C62" s="3">
        <v>10.1064108063993</v>
      </c>
      <c r="D62">
        <v>1.85882205087968</v>
      </c>
      <c r="E62">
        <v>9.4488422719176697</v>
      </c>
      <c r="F62">
        <v>9.9257796018564708</v>
      </c>
      <c r="G62">
        <v>0.48841045982736497</v>
      </c>
      <c r="H62">
        <v>10.3358779517594</v>
      </c>
      <c r="I62">
        <v>10.8919879498998</v>
      </c>
      <c r="J62">
        <v>0.55610999814043405</v>
      </c>
      <c r="K62">
        <v>61</v>
      </c>
      <c r="L62">
        <v>71</v>
      </c>
      <c r="M62">
        <v>74</v>
      </c>
    </row>
    <row r="63" spans="1:13" x14ac:dyDescent="0.35">
      <c r="A63" s="3" t="s">
        <v>49</v>
      </c>
      <c r="B63" s="3">
        <v>13.744434471956801</v>
      </c>
      <c r="C63" s="3">
        <v>10.214762993073901</v>
      </c>
      <c r="D63">
        <v>3.5296714788829302</v>
      </c>
      <c r="E63">
        <v>9.4488422719176697</v>
      </c>
      <c r="F63">
        <v>9.9257796018564708</v>
      </c>
      <c r="G63">
        <v>0.48841045982736497</v>
      </c>
      <c r="H63">
        <v>10.3358779517594</v>
      </c>
      <c r="I63">
        <v>10.8919879498998</v>
      </c>
      <c r="J63">
        <v>0.55610999814043405</v>
      </c>
      <c r="K63">
        <v>62</v>
      </c>
      <c r="L63">
        <v>85</v>
      </c>
      <c r="M63">
        <v>93</v>
      </c>
    </row>
    <row r="64" spans="1:13" x14ac:dyDescent="0.35">
      <c r="A64" s="3" t="s">
        <v>75</v>
      </c>
      <c r="B64" s="3">
        <v>13.059374642952401</v>
      </c>
      <c r="C64" s="3">
        <v>10.243316883562301</v>
      </c>
      <c r="D64">
        <v>2.81605775939006</v>
      </c>
      <c r="E64">
        <v>9.4488422719176697</v>
      </c>
      <c r="F64">
        <v>9.9257796018564708</v>
      </c>
      <c r="G64">
        <v>0.48841045982736497</v>
      </c>
      <c r="H64">
        <v>10.3358779517594</v>
      </c>
      <c r="I64">
        <v>10.8919879498998</v>
      </c>
      <c r="J64">
        <v>0.55610999814043405</v>
      </c>
      <c r="K64">
        <v>63</v>
      </c>
      <c r="L64">
        <v>80</v>
      </c>
      <c r="M64">
        <v>86</v>
      </c>
    </row>
    <row r="65" spans="1:13" x14ac:dyDescent="0.35">
      <c r="A65" s="3" t="s">
        <v>106</v>
      </c>
      <c r="B65" s="3">
        <v>11.1177965789506</v>
      </c>
      <c r="C65" s="3">
        <v>10.4858812977453</v>
      </c>
      <c r="D65">
        <v>0.63191528120526097</v>
      </c>
      <c r="E65">
        <v>9.4488422719176697</v>
      </c>
      <c r="F65">
        <v>9.9257796018564708</v>
      </c>
      <c r="G65">
        <v>0.48841045982736497</v>
      </c>
      <c r="H65">
        <v>10.3358779517594</v>
      </c>
      <c r="I65">
        <v>10.8919879498998</v>
      </c>
      <c r="J65">
        <v>0.55610999814043405</v>
      </c>
      <c r="K65">
        <v>64</v>
      </c>
      <c r="L65">
        <v>65</v>
      </c>
      <c r="M65">
        <v>55</v>
      </c>
    </row>
    <row r="66" spans="1:13" x14ac:dyDescent="0.35">
      <c r="A66" s="3" t="s">
        <v>86</v>
      </c>
      <c r="B66" s="3">
        <v>11.0652663165791</v>
      </c>
      <c r="C66" s="3">
        <v>10.5864920606315</v>
      </c>
      <c r="D66">
        <v>0.47877425594759998</v>
      </c>
      <c r="E66">
        <v>9.4488422719176697</v>
      </c>
      <c r="F66">
        <v>9.9257796018564708</v>
      </c>
      <c r="G66">
        <v>0.48841045982736497</v>
      </c>
      <c r="H66">
        <v>10.3358779517594</v>
      </c>
      <c r="I66">
        <v>10.8919879498998</v>
      </c>
      <c r="J66">
        <v>0.55610999814043405</v>
      </c>
      <c r="K66">
        <v>65</v>
      </c>
      <c r="L66">
        <v>63</v>
      </c>
      <c r="M66">
        <v>53</v>
      </c>
    </row>
    <row r="67" spans="1:13" x14ac:dyDescent="0.35">
      <c r="A67" s="3" t="s">
        <v>111</v>
      </c>
      <c r="B67" s="3">
        <v>11.4946706324776</v>
      </c>
      <c r="C67" s="3">
        <v>10.758387914563301</v>
      </c>
      <c r="D67">
        <v>0.73628271791428002</v>
      </c>
      <c r="E67">
        <v>9.4488422719176697</v>
      </c>
      <c r="F67">
        <v>9.9257796018564708</v>
      </c>
      <c r="G67">
        <v>0.48841045982736497</v>
      </c>
      <c r="H67">
        <v>10.3358779517594</v>
      </c>
      <c r="I67">
        <v>10.8919879498998</v>
      </c>
      <c r="J67">
        <v>0.55610999814043405</v>
      </c>
      <c r="K67">
        <v>66</v>
      </c>
      <c r="L67">
        <v>69</v>
      </c>
      <c r="M67">
        <v>59</v>
      </c>
    </row>
    <row r="68" spans="1:13" x14ac:dyDescent="0.35">
      <c r="A68" s="3" t="s">
        <v>139</v>
      </c>
      <c r="B68" s="3">
        <v>10.5780304838191</v>
      </c>
      <c r="C68" s="3">
        <v>10.759932524035699</v>
      </c>
      <c r="D68">
        <v>-0.181902040216634</v>
      </c>
      <c r="E68">
        <v>9.4488422719176697</v>
      </c>
      <c r="F68">
        <v>9.9257796018564708</v>
      </c>
      <c r="G68">
        <v>0.48841045982736497</v>
      </c>
      <c r="H68">
        <v>10.3358779517594</v>
      </c>
      <c r="I68">
        <v>10.8919879498998</v>
      </c>
      <c r="J68">
        <v>0.55610999814043405</v>
      </c>
      <c r="K68">
        <v>67</v>
      </c>
      <c r="L68">
        <v>60</v>
      </c>
      <c r="M68">
        <v>38</v>
      </c>
    </row>
    <row r="69" spans="1:13" x14ac:dyDescent="0.35">
      <c r="A69" s="3" t="s">
        <v>113</v>
      </c>
      <c r="B69" s="3">
        <v>8.7970032448940607</v>
      </c>
      <c r="C69" s="3">
        <v>10.781112951954</v>
      </c>
      <c r="D69">
        <v>-1.9841097070599401</v>
      </c>
      <c r="E69">
        <v>9.4488422719176697</v>
      </c>
      <c r="F69">
        <v>9.9257796018564708</v>
      </c>
      <c r="G69">
        <v>0.48841045982736497</v>
      </c>
      <c r="H69">
        <v>10.3358779517594</v>
      </c>
      <c r="I69">
        <v>10.8919879498998</v>
      </c>
      <c r="J69">
        <v>0.55610999814043405</v>
      </c>
      <c r="K69">
        <v>68</v>
      </c>
      <c r="L69">
        <v>40</v>
      </c>
      <c r="M69">
        <v>15</v>
      </c>
    </row>
    <row r="70" spans="1:13" x14ac:dyDescent="0.35">
      <c r="A70" s="3" t="s">
        <v>127</v>
      </c>
      <c r="B70" s="3">
        <v>9.4243150045015192</v>
      </c>
      <c r="C70" s="3">
        <v>10.950542131089501</v>
      </c>
      <c r="D70">
        <v>-1.5262271265879701</v>
      </c>
      <c r="E70">
        <v>9.4488422719176697</v>
      </c>
      <c r="F70">
        <v>9.9257796018564708</v>
      </c>
      <c r="G70">
        <v>0.48841045982736497</v>
      </c>
      <c r="H70">
        <v>10.3358779517594</v>
      </c>
      <c r="I70">
        <v>10.8919879498998</v>
      </c>
      <c r="J70">
        <v>0.55610999814043405</v>
      </c>
      <c r="K70">
        <v>69</v>
      </c>
      <c r="L70">
        <v>50</v>
      </c>
      <c r="M70">
        <v>18</v>
      </c>
    </row>
    <row r="71" spans="1:13" x14ac:dyDescent="0.35">
      <c r="A71" s="3" t="s">
        <v>128</v>
      </c>
      <c r="B71" s="3">
        <v>10.0522273425499</v>
      </c>
      <c r="C71" s="3">
        <v>10.9870196632824</v>
      </c>
      <c r="D71">
        <v>-0.93479232073243101</v>
      </c>
      <c r="E71">
        <v>9.4488422719176697</v>
      </c>
      <c r="F71">
        <v>9.9257796018564708</v>
      </c>
      <c r="G71">
        <v>0.48841045982736497</v>
      </c>
      <c r="H71">
        <v>10.3358779517594</v>
      </c>
      <c r="I71">
        <v>10.8919879498998</v>
      </c>
      <c r="J71">
        <v>0.55610999814043405</v>
      </c>
      <c r="K71">
        <v>70</v>
      </c>
      <c r="L71">
        <v>55</v>
      </c>
      <c r="M71">
        <v>27</v>
      </c>
    </row>
    <row r="72" spans="1:13" x14ac:dyDescent="0.35">
      <c r="A72" s="3" t="s">
        <v>91</v>
      </c>
      <c r="B72" s="3">
        <v>8.96569830975122</v>
      </c>
      <c r="C72" s="3">
        <v>10.9893925570882</v>
      </c>
      <c r="D72">
        <v>-2.0236942473369801</v>
      </c>
      <c r="E72">
        <v>9.4488422719176697</v>
      </c>
      <c r="F72">
        <v>9.9257796018564708</v>
      </c>
      <c r="G72">
        <v>0.48841045982736497</v>
      </c>
      <c r="H72">
        <v>10.3358779517594</v>
      </c>
      <c r="I72">
        <v>10.8919879498998</v>
      </c>
      <c r="J72">
        <v>0.55610999814043405</v>
      </c>
      <c r="K72">
        <v>71</v>
      </c>
      <c r="L72">
        <v>42</v>
      </c>
      <c r="M72">
        <v>14</v>
      </c>
    </row>
    <row r="73" spans="1:13" x14ac:dyDescent="0.35">
      <c r="A73" s="3" t="s">
        <v>60</v>
      </c>
      <c r="B73" s="3">
        <v>12.8795066413662</v>
      </c>
      <c r="C73" s="3">
        <v>11.0120330811743</v>
      </c>
      <c r="D73">
        <v>1.8674735601919199</v>
      </c>
      <c r="E73">
        <v>9.4488422719176697</v>
      </c>
      <c r="F73">
        <v>9.9257796018564708</v>
      </c>
      <c r="G73">
        <v>0.48841045982736497</v>
      </c>
      <c r="H73">
        <v>10.3358779517594</v>
      </c>
      <c r="I73">
        <v>10.8919879498998</v>
      </c>
      <c r="J73">
        <v>0.55610999814043405</v>
      </c>
      <c r="K73">
        <v>72</v>
      </c>
      <c r="L73">
        <v>79</v>
      </c>
      <c r="M73">
        <v>75</v>
      </c>
    </row>
    <row r="74" spans="1:13" x14ac:dyDescent="0.35">
      <c r="A74" s="3" t="s">
        <v>4</v>
      </c>
      <c r="B74" s="3">
        <v>3.1873123412117899</v>
      </c>
      <c r="C74" s="3">
        <v>11.3505446166737</v>
      </c>
      <c r="D74">
        <v>-8.1632322754618496</v>
      </c>
      <c r="E74">
        <v>9.4488422719176697</v>
      </c>
      <c r="F74">
        <v>9.9257796018564708</v>
      </c>
      <c r="G74">
        <v>0.48841045982736497</v>
      </c>
      <c r="H74">
        <v>10.3358779517594</v>
      </c>
      <c r="I74">
        <v>10.8919879498998</v>
      </c>
      <c r="J74">
        <v>0.55610999814043405</v>
      </c>
      <c r="K74">
        <v>73</v>
      </c>
      <c r="L74">
        <v>4</v>
      </c>
      <c r="M74">
        <v>4</v>
      </c>
    </row>
    <row r="75" spans="1:13" x14ac:dyDescent="0.35">
      <c r="A75" s="3" t="s">
        <v>134</v>
      </c>
      <c r="B75" s="3">
        <v>11.7599984756969</v>
      </c>
      <c r="C75" s="3">
        <v>11.4286217649442</v>
      </c>
      <c r="D75">
        <v>0.33137671075265401</v>
      </c>
      <c r="E75">
        <v>9.4488422719176697</v>
      </c>
      <c r="F75">
        <v>9.9257796018564708</v>
      </c>
      <c r="G75">
        <v>0.48841045982736497</v>
      </c>
      <c r="H75">
        <v>10.3358779517594</v>
      </c>
      <c r="I75">
        <v>10.8919879498998</v>
      </c>
      <c r="J75">
        <v>0.55610999814043405</v>
      </c>
      <c r="K75">
        <v>74</v>
      </c>
      <c r="L75">
        <v>70</v>
      </c>
      <c r="M75">
        <v>50</v>
      </c>
    </row>
    <row r="76" spans="1:13" x14ac:dyDescent="0.35">
      <c r="A76" s="3" t="s">
        <v>133</v>
      </c>
      <c r="B76" s="3">
        <v>11.3469065689338</v>
      </c>
      <c r="C76" s="3">
        <v>11.523167542050301</v>
      </c>
      <c r="D76">
        <v>-0.17626097311648101</v>
      </c>
      <c r="E76">
        <v>9.4488422719176697</v>
      </c>
      <c r="F76">
        <v>9.9257796018564708</v>
      </c>
      <c r="G76">
        <v>0.48841045982736497</v>
      </c>
      <c r="H76">
        <v>10.3358779517594</v>
      </c>
      <c r="I76">
        <v>10.8919879498998</v>
      </c>
      <c r="J76">
        <v>0.55610999814043405</v>
      </c>
      <c r="K76">
        <v>75</v>
      </c>
      <c r="L76">
        <v>66</v>
      </c>
      <c r="M76">
        <v>39</v>
      </c>
    </row>
    <row r="77" spans="1:13" x14ac:dyDescent="0.35">
      <c r="A77" s="3" t="s">
        <v>87</v>
      </c>
      <c r="B77" s="3">
        <v>12.675364131891699</v>
      </c>
      <c r="C77" s="3">
        <v>11.808457295671101</v>
      </c>
      <c r="D77">
        <v>0.86690683622063103</v>
      </c>
      <c r="E77">
        <v>9.4488422719176697</v>
      </c>
      <c r="F77">
        <v>9.9257796018564708</v>
      </c>
      <c r="G77">
        <v>0.48841045982736497</v>
      </c>
      <c r="H77">
        <v>10.3358779517594</v>
      </c>
      <c r="I77">
        <v>10.8919879498998</v>
      </c>
      <c r="J77">
        <v>0.55610999814043405</v>
      </c>
      <c r="K77">
        <v>76</v>
      </c>
      <c r="L77">
        <v>78</v>
      </c>
      <c r="M77">
        <v>60</v>
      </c>
    </row>
    <row r="78" spans="1:13" x14ac:dyDescent="0.35">
      <c r="A78" s="3" t="s">
        <v>94</v>
      </c>
      <c r="B78" s="3">
        <v>17.274085042827799</v>
      </c>
      <c r="C78" s="3">
        <v>12.5881411274441</v>
      </c>
      <c r="D78">
        <v>4.6859439153836497</v>
      </c>
      <c r="E78">
        <v>9.4488422719176697</v>
      </c>
      <c r="F78">
        <v>9.9257796018564708</v>
      </c>
      <c r="G78">
        <v>0.48841045982736497</v>
      </c>
      <c r="H78">
        <v>10.3358779517594</v>
      </c>
      <c r="I78">
        <v>10.8919879498998</v>
      </c>
      <c r="J78">
        <v>0.55610999814043405</v>
      </c>
      <c r="K78">
        <v>77</v>
      </c>
      <c r="L78">
        <v>96</v>
      </c>
      <c r="M78">
        <v>99</v>
      </c>
    </row>
    <row r="79" spans="1:13" x14ac:dyDescent="0.35">
      <c r="A79" s="3" t="s">
        <v>102</v>
      </c>
      <c r="B79" s="3">
        <v>18.823619986142099</v>
      </c>
      <c r="C79" s="3">
        <v>12.7836789087916</v>
      </c>
      <c r="D79">
        <v>6.0399410773505204</v>
      </c>
      <c r="E79">
        <v>9.4488422719176697</v>
      </c>
      <c r="F79">
        <v>9.9257796018564708</v>
      </c>
      <c r="G79">
        <v>0.48841045982736497</v>
      </c>
      <c r="H79">
        <v>10.3358779517594</v>
      </c>
      <c r="I79">
        <v>10.8919879498998</v>
      </c>
      <c r="J79">
        <v>0.55610999814043405</v>
      </c>
      <c r="K79">
        <v>78</v>
      </c>
      <c r="L79">
        <v>100</v>
      </c>
      <c r="M79">
        <v>103</v>
      </c>
    </row>
    <row r="80" spans="1:13" x14ac:dyDescent="0.35">
      <c r="A80" s="3" t="s">
        <v>74</v>
      </c>
      <c r="B80" s="3">
        <v>16.263568261733699</v>
      </c>
      <c r="C80" s="3">
        <v>13.0546950581935</v>
      </c>
      <c r="D80">
        <v>3.2088732035401701</v>
      </c>
      <c r="E80">
        <v>9.4488422719176697</v>
      </c>
      <c r="F80">
        <v>9.9257796018564708</v>
      </c>
      <c r="G80">
        <v>0.48841045982736497</v>
      </c>
      <c r="H80">
        <v>10.3358779517594</v>
      </c>
      <c r="I80">
        <v>10.8919879498998</v>
      </c>
      <c r="J80">
        <v>0.55610999814043405</v>
      </c>
      <c r="K80">
        <v>79</v>
      </c>
      <c r="L80">
        <v>94</v>
      </c>
      <c r="M80">
        <v>89</v>
      </c>
    </row>
    <row r="81" spans="1:13" x14ac:dyDescent="0.35">
      <c r="A81" s="3" t="s">
        <v>137</v>
      </c>
      <c r="B81" s="3">
        <v>13.7043366801965</v>
      </c>
      <c r="C81" s="3">
        <v>13.570386666347799</v>
      </c>
      <c r="D81">
        <v>0.133950013848708</v>
      </c>
      <c r="E81">
        <v>9.4488422719176697</v>
      </c>
      <c r="F81">
        <v>9.9257796018564708</v>
      </c>
      <c r="G81">
        <v>0.48841045982736497</v>
      </c>
      <c r="H81">
        <v>10.3358779517594</v>
      </c>
      <c r="I81">
        <v>10.8919879498998</v>
      </c>
      <c r="J81">
        <v>0.55610999814043405</v>
      </c>
      <c r="K81">
        <v>80</v>
      </c>
      <c r="L81">
        <v>83</v>
      </c>
      <c r="M81">
        <v>45</v>
      </c>
    </row>
    <row r="82" spans="1:13" x14ac:dyDescent="0.35">
      <c r="A82" s="3" t="s">
        <v>98</v>
      </c>
      <c r="B82" s="3">
        <v>12.3845747060977</v>
      </c>
      <c r="C82" s="3">
        <v>13.6740470120642</v>
      </c>
      <c r="D82">
        <v>-1.2894723059664499</v>
      </c>
      <c r="E82">
        <v>9.4488422719176697</v>
      </c>
      <c r="F82">
        <v>9.9257796018564708</v>
      </c>
      <c r="G82">
        <v>0.48841045982736497</v>
      </c>
      <c r="H82">
        <v>10.3358779517594</v>
      </c>
      <c r="I82">
        <v>10.8919879498998</v>
      </c>
      <c r="J82">
        <v>0.55610999814043405</v>
      </c>
      <c r="K82">
        <v>81</v>
      </c>
      <c r="L82">
        <v>74</v>
      </c>
      <c r="M82">
        <v>22</v>
      </c>
    </row>
    <row r="83" spans="1:13" x14ac:dyDescent="0.35">
      <c r="A83" s="3" t="s">
        <v>2</v>
      </c>
      <c r="B83" s="3">
        <v>11.085095903318599</v>
      </c>
      <c r="C83" s="3">
        <v>13.678414393093901</v>
      </c>
      <c r="D83">
        <v>-2.5933184897752901</v>
      </c>
      <c r="E83">
        <v>9.4488422719176697</v>
      </c>
      <c r="F83">
        <v>9.9257796018564708</v>
      </c>
      <c r="G83">
        <v>0.48841045982736497</v>
      </c>
      <c r="H83">
        <v>10.3358779517594</v>
      </c>
      <c r="I83">
        <v>10.8919879498998</v>
      </c>
      <c r="J83">
        <v>0.55610999814043405</v>
      </c>
      <c r="K83">
        <v>82</v>
      </c>
      <c r="L83">
        <v>64</v>
      </c>
      <c r="M83">
        <v>11</v>
      </c>
    </row>
    <row r="84" spans="1:13" x14ac:dyDescent="0.35">
      <c r="A84" s="3" t="s">
        <v>89</v>
      </c>
      <c r="B84" s="3">
        <v>12.4847765668426</v>
      </c>
      <c r="C84" s="3">
        <v>13.8719664436233</v>
      </c>
      <c r="D84">
        <v>-1.38718987678071</v>
      </c>
      <c r="E84">
        <v>9.4488422719176697</v>
      </c>
      <c r="F84">
        <v>9.9257796018564708</v>
      </c>
      <c r="G84">
        <v>0.48841045982736497</v>
      </c>
      <c r="H84">
        <v>10.3358779517594</v>
      </c>
      <c r="I84">
        <v>10.8919879498998</v>
      </c>
      <c r="J84">
        <v>0.55610999814043405</v>
      </c>
      <c r="K84">
        <v>83</v>
      </c>
      <c r="L84">
        <v>75</v>
      </c>
      <c r="M84">
        <v>21</v>
      </c>
    </row>
    <row r="85" spans="1:13" x14ac:dyDescent="0.35">
      <c r="A85" s="3" t="s">
        <v>129</v>
      </c>
      <c r="B85" s="3">
        <v>15.305668837820599</v>
      </c>
      <c r="C85" s="3">
        <v>14.1822229165039</v>
      </c>
      <c r="D85">
        <v>1.1234459213166601</v>
      </c>
      <c r="E85">
        <v>9.4488422719176697</v>
      </c>
      <c r="F85">
        <v>9.9257796018564708</v>
      </c>
      <c r="G85">
        <v>0.48841045982736497</v>
      </c>
      <c r="H85">
        <v>10.3358779517594</v>
      </c>
      <c r="I85">
        <v>10.8919879498998</v>
      </c>
      <c r="J85">
        <v>0.55610999814043405</v>
      </c>
      <c r="K85">
        <v>84</v>
      </c>
      <c r="L85">
        <v>92</v>
      </c>
      <c r="M85">
        <v>65</v>
      </c>
    </row>
    <row r="86" spans="1:13" x14ac:dyDescent="0.35">
      <c r="A86" s="3" t="s">
        <v>72</v>
      </c>
      <c r="B86" s="3">
        <v>16.356418853817399</v>
      </c>
      <c r="C86" s="3">
        <v>14.281560173697301</v>
      </c>
      <c r="D86">
        <v>2.0748586801201299</v>
      </c>
      <c r="E86">
        <v>9.4488422719176697</v>
      </c>
      <c r="F86">
        <v>9.9257796018564708</v>
      </c>
      <c r="G86">
        <v>0.48841045982736497</v>
      </c>
      <c r="H86">
        <v>10.3358779517594</v>
      </c>
      <c r="I86">
        <v>10.8919879498998</v>
      </c>
      <c r="J86">
        <v>0.55610999814043405</v>
      </c>
      <c r="K86">
        <v>85</v>
      </c>
      <c r="L86">
        <v>95</v>
      </c>
      <c r="M86">
        <v>80</v>
      </c>
    </row>
    <row r="87" spans="1:13" x14ac:dyDescent="0.35">
      <c r="A87" s="3" t="s">
        <v>6</v>
      </c>
      <c r="B87" s="3">
        <v>11.486528841693501</v>
      </c>
      <c r="C87" s="3">
        <v>14.3326325218019</v>
      </c>
      <c r="D87">
        <v>-2.8461036801083499</v>
      </c>
      <c r="E87">
        <v>9.4488422719176697</v>
      </c>
      <c r="F87">
        <v>9.9257796018564708</v>
      </c>
      <c r="G87">
        <v>0.48841045982736497</v>
      </c>
      <c r="H87">
        <v>10.3358779517594</v>
      </c>
      <c r="I87">
        <v>10.8919879498998</v>
      </c>
      <c r="J87">
        <v>0.55610999814043405</v>
      </c>
      <c r="K87">
        <v>86</v>
      </c>
      <c r="L87">
        <v>68</v>
      </c>
      <c r="M87">
        <v>10</v>
      </c>
    </row>
    <row r="88" spans="1:13" x14ac:dyDescent="0.35">
      <c r="A88" s="3" t="s">
        <v>117</v>
      </c>
      <c r="B88" s="3">
        <v>14.401855663069799</v>
      </c>
      <c r="C88" s="3">
        <v>14.604965619087199</v>
      </c>
      <c r="D88">
        <v>-0.203109956017371</v>
      </c>
      <c r="E88">
        <v>9.4488422719176697</v>
      </c>
      <c r="F88">
        <v>9.9257796018564708</v>
      </c>
      <c r="G88">
        <v>0.48841045982736497</v>
      </c>
      <c r="H88">
        <v>10.3358779517594</v>
      </c>
      <c r="I88">
        <v>10.8919879498998</v>
      </c>
      <c r="J88">
        <v>0.55610999814043405</v>
      </c>
      <c r="K88">
        <v>87</v>
      </c>
      <c r="L88">
        <v>88</v>
      </c>
      <c r="M88">
        <v>36</v>
      </c>
    </row>
    <row r="89" spans="1:13" x14ac:dyDescent="0.35">
      <c r="A89" s="3" t="s">
        <v>43</v>
      </c>
      <c r="B89" s="3">
        <v>14.564852673772601</v>
      </c>
      <c r="C89" s="3">
        <v>14.7891872846852</v>
      </c>
      <c r="D89">
        <v>-0.22433461091263099</v>
      </c>
      <c r="E89">
        <v>9.4488422719176697</v>
      </c>
      <c r="F89">
        <v>9.9257796018564708</v>
      </c>
      <c r="G89">
        <v>0.48841045982736497</v>
      </c>
      <c r="H89">
        <v>10.3358779517594</v>
      </c>
      <c r="I89">
        <v>10.8919879498998</v>
      </c>
      <c r="J89">
        <v>0.55610999814043405</v>
      </c>
      <c r="K89">
        <v>88</v>
      </c>
      <c r="L89">
        <v>90</v>
      </c>
      <c r="M89">
        <v>35</v>
      </c>
    </row>
    <row r="90" spans="1:13" x14ac:dyDescent="0.35">
      <c r="A90" s="3" t="s">
        <v>68</v>
      </c>
      <c r="B90" s="3">
        <v>14.419354838709699</v>
      </c>
      <c r="C90" s="3">
        <v>14.8464567776367</v>
      </c>
      <c r="D90">
        <v>-0.42710193892702703</v>
      </c>
      <c r="E90">
        <v>9.4488422719176697</v>
      </c>
      <c r="F90">
        <v>9.9257796018564708</v>
      </c>
      <c r="G90">
        <v>0.48841045982736497</v>
      </c>
      <c r="H90">
        <v>10.3358779517594</v>
      </c>
      <c r="I90">
        <v>10.8919879498998</v>
      </c>
      <c r="J90">
        <v>0.55610999814043405</v>
      </c>
      <c r="K90">
        <v>89</v>
      </c>
      <c r="L90">
        <v>89</v>
      </c>
      <c r="M90">
        <v>31</v>
      </c>
    </row>
    <row r="91" spans="1:13" x14ac:dyDescent="0.35">
      <c r="A91" s="3" t="s">
        <v>130</v>
      </c>
      <c r="B91" s="3">
        <v>13.705163697640799</v>
      </c>
      <c r="C91" s="3">
        <v>14.9658289751778</v>
      </c>
      <c r="D91">
        <v>-1.26066527753697</v>
      </c>
      <c r="E91">
        <v>9.4488422719176697</v>
      </c>
      <c r="F91">
        <v>9.9257796018564708</v>
      </c>
      <c r="G91">
        <v>0.48841045982736497</v>
      </c>
      <c r="H91">
        <v>10.3358779517594</v>
      </c>
      <c r="I91">
        <v>10.8919879498998</v>
      </c>
      <c r="J91">
        <v>0.55610999814043405</v>
      </c>
      <c r="K91">
        <v>90</v>
      </c>
      <c r="L91">
        <v>84</v>
      </c>
      <c r="M91">
        <v>23</v>
      </c>
    </row>
    <row r="92" spans="1:13" x14ac:dyDescent="0.35">
      <c r="A92" s="3" t="s">
        <v>1</v>
      </c>
      <c r="B92" s="3">
        <v>9.1447173720035497</v>
      </c>
      <c r="C92" s="3">
        <v>14.978525972601</v>
      </c>
      <c r="D92">
        <v>-5.8338086005974699</v>
      </c>
      <c r="E92">
        <v>9.4488422719176697</v>
      </c>
      <c r="F92">
        <v>9.9257796018564708</v>
      </c>
      <c r="G92">
        <v>0.48841045982736497</v>
      </c>
      <c r="H92">
        <v>10.3358779517594</v>
      </c>
      <c r="I92">
        <v>10.8919879498998</v>
      </c>
      <c r="J92">
        <v>0.55610999814043405</v>
      </c>
      <c r="K92">
        <v>91</v>
      </c>
      <c r="L92">
        <v>45</v>
      </c>
      <c r="M92">
        <v>5</v>
      </c>
    </row>
    <row r="93" spans="1:13" x14ac:dyDescent="0.35">
      <c r="A93" s="3" t="s">
        <v>140</v>
      </c>
      <c r="B93" s="3">
        <v>17.477388371843599</v>
      </c>
      <c r="C93" s="3">
        <v>15.1715926686778</v>
      </c>
      <c r="D93">
        <v>2.3057957031658298</v>
      </c>
      <c r="E93">
        <v>9.4488422719176697</v>
      </c>
      <c r="F93">
        <v>9.9257796018564708</v>
      </c>
      <c r="G93">
        <v>0.48841045982736497</v>
      </c>
      <c r="H93">
        <v>10.3358779517594</v>
      </c>
      <c r="I93">
        <v>10.8919879498998</v>
      </c>
      <c r="J93">
        <v>0.55610999814043405</v>
      </c>
      <c r="K93">
        <v>92</v>
      </c>
      <c r="L93">
        <v>98</v>
      </c>
      <c r="M93">
        <v>82</v>
      </c>
    </row>
    <row r="94" spans="1:13" x14ac:dyDescent="0.35">
      <c r="A94" s="3" t="s">
        <v>44</v>
      </c>
      <c r="B94" s="3">
        <v>17.319555223763299</v>
      </c>
      <c r="C94" s="3">
        <v>16.1329001315077</v>
      </c>
      <c r="D94">
        <v>1.1866550922556101</v>
      </c>
      <c r="E94">
        <v>9.4488422719176697</v>
      </c>
      <c r="F94">
        <v>9.9257796018564708</v>
      </c>
      <c r="G94">
        <v>0.48841045982736497</v>
      </c>
      <c r="H94">
        <v>10.3358779517594</v>
      </c>
      <c r="I94">
        <v>10.8919879498998</v>
      </c>
      <c r="J94">
        <v>0.55610999814043405</v>
      </c>
      <c r="K94">
        <v>93</v>
      </c>
      <c r="L94">
        <v>97</v>
      </c>
      <c r="M94">
        <v>67</v>
      </c>
    </row>
    <row r="95" spans="1:13" x14ac:dyDescent="0.35">
      <c r="A95" s="7" t="s">
        <v>118</v>
      </c>
      <c r="B95" s="7">
        <v>13.510520487264699</v>
      </c>
      <c r="C95" s="7">
        <v>16.4906774022961</v>
      </c>
      <c r="D95">
        <v>-2.98015691503144</v>
      </c>
      <c r="E95">
        <v>9.4488422719176697</v>
      </c>
      <c r="F95">
        <v>9.9257796018564708</v>
      </c>
      <c r="G95">
        <v>0.48841045982736497</v>
      </c>
      <c r="H95">
        <v>10.3358779517594</v>
      </c>
      <c r="I95">
        <v>10.8919879498998</v>
      </c>
      <c r="J95">
        <v>0.55610999814043405</v>
      </c>
      <c r="K95">
        <v>94</v>
      </c>
      <c r="L95">
        <v>82</v>
      </c>
      <c r="M95">
        <v>8</v>
      </c>
    </row>
    <row r="96" spans="1:13" x14ac:dyDescent="0.35">
      <c r="A96" s="7" t="s">
        <v>82</v>
      </c>
      <c r="B96" s="7">
        <v>13.9241592312972</v>
      </c>
      <c r="C96" s="7">
        <v>17.154590923691099</v>
      </c>
      <c r="D96">
        <v>-3.23043169239391</v>
      </c>
      <c r="E96">
        <v>9.4488422719176697</v>
      </c>
      <c r="F96">
        <v>9.9257796018564708</v>
      </c>
      <c r="G96">
        <v>0.48841045982736497</v>
      </c>
      <c r="H96">
        <v>10.3358779517594</v>
      </c>
      <c r="I96">
        <v>10.8919879498998</v>
      </c>
      <c r="J96">
        <v>0.55610999814043405</v>
      </c>
      <c r="K96">
        <v>95</v>
      </c>
      <c r="L96">
        <v>86</v>
      </c>
      <c r="M96">
        <v>7</v>
      </c>
    </row>
    <row r="97" spans="1:108" x14ac:dyDescent="0.35">
      <c r="A97" s="3" t="s">
        <v>116</v>
      </c>
      <c r="B97" s="3">
        <v>19.283961835529301</v>
      </c>
      <c r="C97" s="3">
        <v>17.308872672713601</v>
      </c>
      <c r="D97">
        <v>1.9750891628156699</v>
      </c>
      <c r="E97">
        <v>9.4488422719176697</v>
      </c>
      <c r="F97">
        <v>9.9257796018564708</v>
      </c>
      <c r="G97">
        <v>0.48841045982736497</v>
      </c>
      <c r="H97">
        <v>10.3358779517594</v>
      </c>
      <c r="I97">
        <v>10.8919879498998</v>
      </c>
      <c r="J97">
        <v>0.55610999814043405</v>
      </c>
      <c r="K97">
        <v>96</v>
      </c>
      <c r="L97">
        <v>101</v>
      </c>
      <c r="M97">
        <v>78</v>
      </c>
    </row>
    <row r="98" spans="1:108" x14ac:dyDescent="0.35">
      <c r="A98" s="3" t="s">
        <v>119</v>
      </c>
      <c r="B98" s="3">
        <v>15.960755917718</v>
      </c>
      <c r="C98" s="3">
        <v>17.486157920077002</v>
      </c>
      <c r="D98">
        <v>-1.52540200235907</v>
      </c>
      <c r="E98">
        <v>9.4488422719176697</v>
      </c>
      <c r="F98">
        <v>9.9257796018564708</v>
      </c>
      <c r="G98">
        <v>0.48841045982736497</v>
      </c>
      <c r="H98">
        <v>10.3358779517594</v>
      </c>
      <c r="I98">
        <v>10.8919879498998</v>
      </c>
      <c r="J98">
        <v>0.55610999814043405</v>
      </c>
      <c r="K98">
        <v>97</v>
      </c>
      <c r="L98">
        <v>93</v>
      </c>
      <c r="M98">
        <v>19</v>
      </c>
    </row>
    <row r="99" spans="1:108" x14ac:dyDescent="0.35">
      <c r="A99" s="7" t="s">
        <v>53</v>
      </c>
      <c r="B99" s="7">
        <v>8.9693154996066102</v>
      </c>
      <c r="C99" s="7">
        <v>17.513768686073998</v>
      </c>
      <c r="D99">
        <v>-8.5444531864673507</v>
      </c>
      <c r="E99">
        <v>9.4488422719176697</v>
      </c>
      <c r="F99">
        <v>9.9257796018564708</v>
      </c>
      <c r="G99">
        <v>0.48841045982736497</v>
      </c>
      <c r="H99">
        <v>10.3358779517594</v>
      </c>
      <c r="I99">
        <v>10.8919879498998</v>
      </c>
      <c r="J99">
        <v>0.55610999814043405</v>
      </c>
      <c r="K99">
        <v>98</v>
      </c>
      <c r="L99">
        <v>43</v>
      </c>
      <c r="M99">
        <v>3</v>
      </c>
    </row>
    <row r="100" spans="1:108" x14ac:dyDescent="0.35">
      <c r="A100" s="3" t="s">
        <v>70</v>
      </c>
      <c r="B100" s="3">
        <v>20.237749748855901</v>
      </c>
      <c r="C100" s="3">
        <v>18.166440769856301</v>
      </c>
      <c r="D100">
        <v>2.0713089789995598</v>
      </c>
      <c r="E100">
        <v>9.4488422719176697</v>
      </c>
      <c r="F100">
        <v>9.9257796018564708</v>
      </c>
      <c r="G100">
        <v>0.48841045982736497</v>
      </c>
      <c r="H100">
        <v>10.3358779517594</v>
      </c>
      <c r="I100">
        <v>10.8919879498998</v>
      </c>
      <c r="J100">
        <v>0.55610999814043405</v>
      </c>
      <c r="K100">
        <v>99</v>
      </c>
      <c r="L100">
        <v>102</v>
      </c>
      <c r="M100">
        <v>79</v>
      </c>
    </row>
    <row r="101" spans="1:108" x14ac:dyDescent="0.35">
      <c r="A101" s="3" t="s">
        <v>105</v>
      </c>
      <c r="B101" s="3">
        <v>18.2524415507547</v>
      </c>
      <c r="C101" s="3">
        <v>18.240942200359498</v>
      </c>
      <c r="D101">
        <v>1.1499350395187199E-2</v>
      </c>
      <c r="E101">
        <v>9.4488422719176697</v>
      </c>
      <c r="F101">
        <v>9.9257796018564708</v>
      </c>
      <c r="G101">
        <v>0.48841045982736497</v>
      </c>
      <c r="H101">
        <v>10.3358779517594</v>
      </c>
      <c r="I101">
        <v>10.8919879498998</v>
      </c>
      <c r="J101">
        <v>0.55610999814043405</v>
      </c>
      <c r="K101">
        <v>100</v>
      </c>
      <c r="L101">
        <v>99</v>
      </c>
      <c r="M101">
        <v>41</v>
      </c>
    </row>
    <row r="102" spans="1:108" x14ac:dyDescent="0.35">
      <c r="A102" s="3" t="s">
        <v>3</v>
      </c>
      <c r="B102" s="3">
        <v>8.9188283717813697</v>
      </c>
      <c r="C102" s="3">
        <v>18.8376512472637</v>
      </c>
      <c r="D102">
        <v>-9.9188228754823502</v>
      </c>
      <c r="E102">
        <v>9.4488422719176697</v>
      </c>
      <c r="F102">
        <v>9.9257796018564708</v>
      </c>
      <c r="G102">
        <v>0.48841045982736497</v>
      </c>
      <c r="H102">
        <v>10.3358779517594</v>
      </c>
      <c r="I102">
        <v>10.8919879498998</v>
      </c>
      <c r="J102">
        <v>0.55610999814043405</v>
      </c>
      <c r="K102">
        <v>101</v>
      </c>
      <c r="L102">
        <v>41</v>
      </c>
      <c r="M102">
        <v>2</v>
      </c>
    </row>
    <row r="103" spans="1:108" x14ac:dyDescent="0.35">
      <c r="A103" s="7" t="s">
        <v>99</v>
      </c>
      <c r="B103" s="7">
        <v>1.68797488511761</v>
      </c>
      <c r="C103" s="7">
        <v>19.285364659814</v>
      </c>
      <c r="D103">
        <v>-17.597389774696399</v>
      </c>
      <c r="E103">
        <v>9.4488422719176697</v>
      </c>
      <c r="F103">
        <v>9.9257796018564708</v>
      </c>
      <c r="G103">
        <v>0.48841045982736497</v>
      </c>
      <c r="H103">
        <v>10.3358779517594</v>
      </c>
      <c r="I103">
        <v>10.8919879498998</v>
      </c>
      <c r="J103">
        <v>0.55610999814043405</v>
      </c>
      <c r="K103">
        <v>102</v>
      </c>
      <c r="L103">
        <v>1</v>
      </c>
      <c r="M103">
        <v>1</v>
      </c>
    </row>
    <row r="104" spans="1:108" x14ac:dyDescent="0.35">
      <c r="A104" s="3" t="s">
        <v>132</v>
      </c>
      <c r="B104" s="3">
        <v>23.410434602219699</v>
      </c>
      <c r="C104" s="3">
        <v>20.049818341957501</v>
      </c>
      <c r="D104">
        <v>3.3606162602621801</v>
      </c>
      <c r="E104">
        <v>9.4488422719176697</v>
      </c>
      <c r="F104">
        <v>9.9257796018564708</v>
      </c>
      <c r="G104">
        <v>0.48841045982736497</v>
      </c>
      <c r="H104">
        <v>10.3358779517594</v>
      </c>
      <c r="I104">
        <v>10.8919879498998</v>
      </c>
      <c r="J104">
        <v>0.55610999814043405</v>
      </c>
      <c r="K104">
        <v>103</v>
      </c>
      <c r="L104">
        <v>104</v>
      </c>
      <c r="M104">
        <v>91</v>
      </c>
    </row>
    <row r="105" spans="1:108" x14ac:dyDescent="0.35">
      <c r="A105" s="3" t="s">
        <v>114</v>
      </c>
      <c r="B105" s="3">
        <v>24.7839133696468</v>
      </c>
      <c r="C105" s="3">
        <v>20.2924775048938</v>
      </c>
      <c r="D105">
        <v>4.4914358647529404</v>
      </c>
      <c r="E105">
        <v>9.4488422719176697</v>
      </c>
      <c r="F105">
        <v>9.9257796018564708</v>
      </c>
      <c r="G105">
        <v>0.48841045982736497</v>
      </c>
      <c r="H105">
        <v>10.3358779517594</v>
      </c>
      <c r="I105">
        <v>10.8919879498998</v>
      </c>
      <c r="J105">
        <v>0.55610999814043405</v>
      </c>
      <c r="K105">
        <v>104</v>
      </c>
      <c r="L105">
        <v>105</v>
      </c>
      <c r="M105">
        <v>98</v>
      </c>
    </row>
    <row r="106" spans="1:108" x14ac:dyDescent="0.35">
      <c r="A106" s="3" t="s">
        <v>5</v>
      </c>
      <c r="B106" s="3">
        <v>20.846039784013701</v>
      </c>
      <c r="C106" s="3">
        <v>25.554072870735698</v>
      </c>
      <c r="D106">
        <v>-4.7080330867220201</v>
      </c>
      <c r="E106">
        <v>9.4488422719176697</v>
      </c>
      <c r="F106">
        <v>9.9257796018564708</v>
      </c>
      <c r="G106">
        <v>0.48841045982736497</v>
      </c>
      <c r="H106">
        <v>10.3358779517594</v>
      </c>
      <c r="I106">
        <v>10.8919879498998</v>
      </c>
      <c r="J106">
        <v>0.55610999814043405</v>
      </c>
      <c r="K106">
        <v>105</v>
      </c>
      <c r="L106">
        <v>103</v>
      </c>
      <c r="M106">
        <v>6</v>
      </c>
    </row>
    <row r="107" spans="1:108" x14ac:dyDescent="0.35">
      <c r="A107" s="3" t="s">
        <v>100</v>
      </c>
      <c r="B107" s="3">
        <v>37.207380217322601</v>
      </c>
      <c r="C107" s="3">
        <v>29.8335437952015</v>
      </c>
      <c r="D107">
        <v>7.3738364221211397</v>
      </c>
      <c r="E107">
        <v>9.4488422719176697</v>
      </c>
      <c r="F107">
        <v>9.9257796018564708</v>
      </c>
      <c r="G107">
        <v>0.48841045982736497</v>
      </c>
      <c r="H107">
        <v>10.3358779517594</v>
      </c>
      <c r="I107">
        <v>10.8919879498998</v>
      </c>
      <c r="J107">
        <v>0.55610999814043405</v>
      </c>
      <c r="K107">
        <v>106</v>
      </c>
      <c r="L107">
        <v>106</v>
      </c>
      <c r="M107">
        <v>104</v>
      </c>
    </row>
    <row r="108" spans="1:108" x14ac:dyDescent="0.35">
      <c r="A108" s="3" t="s">
        <v>65</v>
      </c>
      <c r="B108" s="3">
        <v>45.290135169958099</v>
      </c>
      <c r="C108" s="3">
        <v>34.627995563913402</v>
      </c>
      <c r="D108">
        <v>10.6621396060447</v>
      </c>
      <c r="E108">
        <v>9.4488422719176697</v>
      </c>
      <c r="F108">
        <v>9.9257796018564708</v>
      </c>
      <c r="G108">
        <v>0.48841045982736497</v>
      </c>
      <c r="H108">
        <v>10.3358779517594</v>
      </c>
      <c r="I108">
        <v>10.8919879498998</v>
      </c>
      <c r="J108">
        <v>0.55610999814043405</v>
      </c>
      <c r="K108">
        <v>107</v>
      </c>
      <c r="L108">
        <v>107</v>
      </c>
      <c r="M108">
        <v>107</v>
      </c>
    </row>
    <row r="110" spans="1:108" s="9" customFormat="1" x14ac:dyDescent="0.35">
      <c r="A110" s="5"/>
      <c r="B110" s="5" t="s">
        <v>109</v>
      </c>
      <c r="C110" s="5" t="s">
        <v>45</v>
      </c>
      <c r="D110" s="5" t="s">
        <v>101</v>
      </c>
      <c r="E110" s="5" t="s">
        <v>110</v>
      </c>
      <c r="F110" s="5" t="s">
        <v>51</v>
      </c>
      <c r="G110" s="5" t="s">
        <v>78</v>
      </c>
      <c r="H110" s="5" t="s">
        <v>138</v>
      </c>
      <c r="I110" s="5" t="s">
        <v>83</v>
      </c>
      <c r="J110" s="5" t="s">
        <v>80</v>
      </c>
      <c r="K110" s="5" t="s">
        <v>76</v>
      </c>
      <c r="L110" s="5" t="s">
        <v>50</v>
      </c>
      <c r="M110" s="5" t="s">
        <v>107</v>
      </c>
      <c r="N110" s="5" t="s">
        <v>64</v>
      </c>
      <c r="O110" s="5" t="s">
        <v>108</v>
      </c>
      <c r="P110" s="5" t="s">
        <v>124</v>
      </c>
      <c r="Q110" s="5" t="s">
        <v>96</v>
      </c>
      <c r="R110" s="5" t="s">
        <v>123</v>
      </c>
      <c r="S110" s="5" t="s">
        <v>131</v>
      </c>
      <c r="T110" s="5" t="s">
        <v>97</v>
      </c>
      <c r="U110" s="5" t="s">
        <v>58</v>
      </c>
      <c r="V110" s="5" t="s">
        <v>125</v>
      </c>
      <c r="W110" s="5" t="s">
        <v>92</v>
      </c>
      <c r="X110" s="5" t="s">
        <v>52</v>
      </c>
      <c r="Y110" s="5" t="s">
        <v>57</v>
      </c>
      <c r="Z110" s="5" t="s">
        <v>104</v>
      </c>
      <c r="AA110" s="5" t="s">
        <v>62</v>
      </c>
      <c r="AB110" s="5" t="s">
        <v>61</v>
      </c>
      <c r="AC110" s="5" t="s">
        <v>67</v>
      </c>
      <c r="AD110" s="5" t="s">
        <v>136</v>
      </c>
      <c r="AE110" s="5" t="s">
        <v>48</v>
      </c>
      <c r="AF110" s="5" t="s">
        <v>56</v>
      </c>
      <c r="AG110" s="5" t="s">
        <v>115</v>
      </c>
      <c r="AH110" s="5" t="s">
        <v>121</v>
      </c>
      <c r="AI110" s="5" t="s">
        <v>0</v>
      </c>
      <c r="AJ110" s="5" t="s">
        <v>46</v>
      </c>
      <c r="AK110" s="5" t="s">
        <v>135</v>
      </c>
      <c r="AL110" s="5" t="s">
        <v>126</v>
      </c>
      <c r="AM110" s="5" t="s">
        <v>88</v>
      </c>
      <c r="AN110" s="5" t="s">
        <v>79</v>
      </c>
      <c r="AO110" s="5" t="s">
        <v>85</v>
      </c>
      <c r="AP110" s="5" t="s">
        <v>103</v>
      </c>
      <c r="AQ110" s="5" t="s">
        <v>120</v>
      </c>
      <c r="AR110" s="5" t="s">
        <v>81</v>
      </c>
      <c r="AS110" s="5" t="s">
        <v>93</v>
      </c>
      <c r="AT110" s="5" t="s">
        <v>77</v>
      </c>
      <c r="AU110" s="5" t="s">
        <v>41</v>
      </c>
      <c r="AV110" s="5" t="s">
        <v>55</v>
      </c>
      <c r="AW110" s="5" t="s">
        <v>84</v>
      </c>
      <c r="AX110" s="5" t="s">
        <v>63</v>
      </c>
      <c r="AY110" s="5" t="s">
        <v>59</v>
      </c>
      <c r="AZ110" s="5" t="s">
        <v>71</v>
      </c>
      <c r="BA110" s="5" t="s">
        <v>112</v>
      </c>
      <c r="BB110" s="5" t="s">
        <v>66</v>
      </c>
      <c r="BC110" s="5" t="s">
        <v>42</v>
      </c>
      <c r="BD110" s="5" t="s">
        <v>73</v>
      </c>
      <c r="BE110" s="5" t="s">
        <v>90</v>
      </c>
      <c r="BF110" s="5" t="s">
        <v>54</v>
      </c>
      <c r="BG110" s="5" t="s">
        <v>95</v>
      </c>
      <c r="BH110" s="5" t="s">
        <v>47</v>
      </c>
      <c r="BI110" s="5" t="s">
        <v>69</v>
      </c>
      <c r="BJ110" s="5" t="s">
        <v>122</v>
      </c>
      <c r="BK110" s="5" t="s">
        <v>49</v>
      </c>
      <c r="BL110" s="5" t="s">
        <v>75</v>
      </c>
      <c r="BM110" s="5" t="s">
        <v>106</v>
      </c>
      <c r="BN110" s="5" t="s">
        <v>86</v>
      </c>
      <c r="BO110" s="5" t="s">
        <v>111</v>
      </c>
      <c r="BP110" s="5" t="s">
        <v>139</v>
      </c>
      <c r="BQ110" s="5" t="s">
        <v>113</v>
      </c>
      <c r="BR110" s="5" t="s">
        <v>127</v>
      </c>
      <c r="BS110" s="5" t="s">
        <v>128</v>
      </c>
      <c r="BT110" s="5" t="s">
        <v>91</v>
      </c>
      <c r="BU110" s="5" t="s">
        <v>60</v>
      </c>
      <c r="BV110" s="5" t="s">
        <v>4</v>
      </c>
      <c r="BW110" s="5" t="s">
        <v>134</v>
      </c>
      <c r="BX110" s="5" t="s">
        <v>133</v>
      </c>
      <c r="BY110" s="5" t="s">
        <v>87</v>
      </c>
      <c r="BZ110" s="5" t="s">
        <v>94</v>
      </c>
      <c r="CA110" s="5" t="s">
        <v>102</v>
      </c>
      <c r="CB110" s="5" t="s">
        <v>74</v>
      </c>
      <c r="CC110" s="5" t="s">
        <v>137</v>
      </c>
      <c r="CD110" s="5" t="s">
        <v>98</v>
      </c>
      <c r="CE110" s="5" t="s">
        <v>2</v>
      </c>
      <c r="CF110" s="5" t="s">
        <v>89</v>
      </c>
      <c r="CG110" s="5" t="s">
        <v>129</v>
      </c>
      <c r="CH110" s="5" t="s">
        <v>72</v>
      </c>
      <c r="CI110" s="5" t="s">
        <v>6</v>
      </c>
      <c r="CJ110" s="5" t="s">
        <v>117</v>
      </c>
      <c r="CK110" s="5" t="s">
        <v>43</v>
      </c>
      <c r="CL110" s="5" t="s">
        <v>68</v>
      </c>
      <c r="CM110" s="5" t="s">
        <v>130</v>
      </c>
      <c r="CN110" s="5" t="s">
        <v>1</v>
      </c>
      <c r="CO110" s="5" t="s">
        <v>140</v>
      </c>
      <c r="CP110" s="5" t="s">
        <v>44</v>
      </c>
      <c r="CQ110" s="8" t="s">
        <v>118</v>
      </c>
      <c r="CR110" s="8" t="s">
        <v>82</v>
      </c>
      <c r="CS110" s="5" t="s">
        <v>116</v>
      </c>
      <c r="CT110" s="5" t="s">
        <v>119</v>
      </c>
      <c r="CU110" s="8" t="s">
        <v>53</v>
      </c>
      <c r="CV110" s="5" t="s">
        <v>70</v>
      </c>
      <c r="CW110" s="5" t="s">
        <v>105</v>
      </c>
      <c r="CX110" s="5" t="s">
        <v>3</v>
      </c>
      <c r="CY110" s="8" t="s">
        <v>99</v>
      </c>
      <c r="CZ110" s="5" t="s">
        <v>132</v>
      </c>
      <c r="DA110" s="5" t="s">
        <v>114</v>
      </c>
      <c r="DB110" s="5" t="s">
        <v>5</v>
      </c>
      <c r="DC110" s="5" t="s">
        <v>100</v>
      </c>
      <c r="DD110" s="5" t="s">
        <v>65</v>
      </c>
    </row>
    <row r="111" spans="1:108" s="9" customFormat="1" x14ac:dyDescent="0.35">
      <c r="A111" s="5" t="s">
        <v>267</v>
      </c>
      <c r="B111" s="5">
        <v>4.2745347832021503</v>
      </c>
      <c r="C111" s="5">
        <v>5.9220223575910103</v>
      </c>
      <c r="D111" s="5">
        <v>3.6923304052557802</v>
      </c>
      <c r="E111" s="5">
        <v>7.5162312765196102</v>
      </c>
      <c r="F111" s="5">
        <v>3.33152311646935</v>
      </c>
      <c r="G111" s="5">
        <v>8.4477058705670203</v>
      </c>
      <c r="H111" s="5">
        <v>2.9146480759384001</v>
      </c>
      <c r="I111" s="5">
        <v>9.2450375259825801</v>
      </c>
      <c r="J111" s="5">
        <v>4.6152073732718897</v>
      </c>
      <c r="K111" s="5">
        <v>7.0341733316781596</v>
      </c>
      <c r="L111" s="5">
        <v>5.9198755348113599</v>
      </c>
      <c r="M111" s="5">
        <v>12.1368644452417</v>
      </c>
      <c r="N111" s="5">
        <v>6.1759867525138601</v>
      </c>
      <c r="O111" s="5">
        <v>3.9011455861240498</v>
      </c>
      <c r="P111" s="5">
        <v>2.6097433449271401</v>
      </c>
      <c r="Q111" s="5">
        <v>6.32092638544251</v>
      </c>
      <c r="R111" s="5">
        <v>5.40693952971582</v>
      </c>
      <c r="S111" s="5">
        <v>6.7625187177990398</v>
      </c>
      <c r="T111" s="5">
        <v>14.872783779229801</v>
      </c>
      <c r="U111" s="5">
        <v>6.1573909961006699</v>
      </c>
      <c r="V111" s="5">
        <v>4.00739719813674</v>
      </c>
      <c r="W111" s="5">
        <v>5.1091365655785204</v>
      </c>
      <c r="X111" s="5">
        <v>9.6408455855460495</v>
      </c>
      <c r="Y111" s="5">
        <v>6.1280517697813499</v>
      </c>
      <c r="Z111" s="5">
        <v>9.1460608342747207</v>
      </c>
      <c r="AA111" s="5">
        <v>5.2511926700308296</v>
      </c>
      <c r="AB111" s="5">
        <v>4.58967073374561</v>
      </c>
      <c r="AC111" s="5">
        <v>6.4475680048538804</v>
      </c>
      <c r="AD111" s="5">
        <v>5.7999474665098996</v>
      </c>
      <c r="AE111" s="5">
        <v>6.4273282875298499</v>
      </c>
      <c r="AF111" s="5">
        <v>11.4780842157104</v>
      </c>
      <c r="AG111" s="5">
        <v>7.8370628001520197</v>
      </c>
      <c r="AH111" s="5">
        <v>7.20464322039434</v>
      </c>
      <c r="AI111" s="5">
        <v>4.0947736934233596</v>
      </c>
      <c r="AJ111" s="5">
        <v>10.1905659963597</v>
      </c>
      <c r="AK111" s="5">
        <v>8.9986504009103196</v>
      </c>
      <c r="AL111" s="5">
        <v>8.1532398154547305</v>
      </c>
      <c r="AM111" s="5">
        <v>7.6606282112399997</v>
      </c>
      <c r="AN111" s="5">
        <v>6.7206554362815396</v>
      </c>
      <c r="AO111" s="5">
        <v>8.6439778825161699</v>
      </c>
      <c r="AP111" s="5">
        <v>10.175635015044399</v>
      </c>
      <c r="AQ111" s="5">
        <v>9.4568513923352597</v>
      </c>
      <c r="AR111" s="5">
        <v>9.39247311827957</v>
      </c>
      <c r="AS111" s="5">
        <v>12.3332816377171</v>
      </c>
      <c r="AT111" s="5">
        <v>8.7736566596572896</v>
      </c>
      <c r="AU111" s="5">
        <v>8.2993564376224196</v>
      </c>
      <c r="AV111" s="5">
        <v>6.2649218231101997</v>
      </c>
      <c r="AW111" s="5">
        <v>10.304037852872501</v>
      </c>
      <c r="AX111" s="5">
        <v>7.3526198120661004</v>
      </c>
      <c r="AY111" s="5">
        <v>8.4057670366144599</v>
      </c>
      <c r="AZ111" s="5">
        <v>10.7603755273045</v>
      </c>
      <c r="BA111" s="5">
        <v>11.0528204695153</v>
      </c>
      <c r="BB111" s="5">
        <v>10.0974819076319</v>
      </c>
      <c r="BC111" s="5">
        <v>9.9257796018564708</v>
      </c>
      <c r="BD111" s="5">
        <v>9.7100107403429501</v>
      </c>
      <c r="BE111" s="5">
        <v>9.3101303699879097</v>
      </c>
      <c r="BF111" s="5">
        <v>13.2847008432606</v>
      </c>
      <c r="BG111" s="5">
        <v>12.5558001898721</v>
      </c>
      <c r="BH111" s="5">
        <v>13.9558350239519</v>
      </c>
      <c r="BI111" s="5">
        <v>12.645794966237</v>
      </c>
      <c r="BJ111" s="5">
        <v>11.965232857279</v>
      </c>
      <c r="BK111" s="5">
        <v>13.744434471956801</v>
      </c>
      <c r="BL111" s="5">
        <v>13.059374642952401</v>
      </c>
      <c r="BM111" s="5">
        <v>11.1177965789506</v>
      </c>
      <c r="BN111" s="5">
        <v>11.0652663165791</v>
      </c>
      <c r="BO111" s="5">
        <v>11.4946706324776</v>
      </c>
      <c r="BP111" s="5">
        <v>10.5780304838191</v>
      </c>
      <c r="BQ111" s="5">
        <v>8.7970032448940607</v>
      </c>
      <c r="BR111" s="5">
        <v>9.4243150045015192</v>
      </c>
      <c r="BS111" s="5">
        <v>10.0522273425499</v>
      </c>
      <c r="BT111" s="5">
        <v>8.96569830975122</v>
      </c>
      <c r="BU111" s="5">
        <v>12.8795066413662</v>
      </c>
      <c r="BV111" s="5">
        <v>3.1873123412117899</v>
      </c>
      <c r="BW111" s="5">
        <v>11.7599984756969</v>
      </c>
      <c r="BX111" s="5">
        <v>11.3469065689338</v>
      </c>
      <c r="BY111" s="5">
        <v>12.675364131891699</v>
      </c>
      <c r="BZ111" s="5">
        <v>17.274085042827799</v>
      </c>
      <c r="CA111" s="5">
        <v>18.823619986142099</v>
      </c>
      <c r="CB111" s="5">
        <v>16.263568261733699</v>
      </c>
      <c r="CC111" s="5">
        <v>13.7043366801965</v>
      </c>
      <c r="CD111" s="5">
        <v>12.3845747060977</v>
      </c>
      <c r="CE111" s="5">
        <v>11.085095903318599</v>
      </c>
      <c r="CF111" s="5">
        <v>12.4847765668426</v>
      </c>
      <c r="CG111" s="5">
        <v>15.305668837820599</v>
      </c>
      <c r="CH111" s="5">
        <v>16.356418853817399</v>
      </c>
      <c r="CI111" s="5">
        <v>11.486528841693501</v>
      </c>
      <c r="CJ111" s="5">
        <v>14.401855663069799</v>
      </c>
      <c r="CK111" s="5">
        <v>14.564852673772601</v>
      </c>
      <c r="CL111" s="5">
        <v>14.419354838709699</v>
      </c>
      <c r="CM111" s="5">
        <v>13.705163697640799</v>
      </c>
      <c r="CN111" s="5">
        <v>9.1447173720035497</v>
      </c>
      <c r="CO111" s="5">
        <v>17.477388371843599</v>
      </c>
      <c r="CP111" s="5">
        <v>17.319555223763299</v>
      </c>
      <c r="CQ111" s="8">
        <v>13.510520487264699</v>
      </c>
      <c r="CR111" s="8">
        <v>13.9241592312972</v>
      </c>
      <c r="CS111" s="5">
        <v>19.283961835529301</v>
      </c>
      <c r="CT111" s="5">
        <v>15.960755917718</v>
      </c>
      <c r="CU111" s="8">
        <v>8.9693154996066102</v>
      </c>
      <c r="CV111" s="5">
        <v>20.237749748855901</v>
      </c>
      <c r="CW111" s="5">
        <v>18.2524415507547</v>
      </c>
      <c r="CX111" s="5">
        <v>8.9188283717813697</v>
      </c>
      <c r="CY111" s="8">
        <v>1.68797488511761</v>
      </c>
      <c r="CZ111" s="5">
        <v>23.410434602219699</v>
      </c>
      <c r="DA111" s="5">
        <v>24.7839133696468</v>
      </c>
      <c r="DB111" s="5">
        <v>20.846039784013701</v>
      </c>
      <c r="DC111" s="5">
        <v>37.207380217322601</v>
      </c>
      <c r="DD111" s="5">
        <v>45.290135169958099</v>
      </c>
    </row>
    <row r="112" spans="1:108" s="9" customFormat="1" x14ac:dyDescent="0.35">
      <c r="A112" s="5" t="s">
        <v>266</v>
      </c>
      <c r="B112" s="5">
        <v>2.3475605123607801</v>
      </c>
      <c r="C112" s="5">
        <v>2.5905088221361301</v>
      </c>
      <c r="D112" s="5">
        <v>2.9678591842417701</v>
      </c>
      <c r="E112" s="5">
        <v>3.4415492138953798</v>
      </c>
      <c r="F112" s="5">
        <v>3.45792567846064</v>
      </c>
      <c r="G112" s="5">
        <v>3.50269970926208</v>
      </c>
      <c r="H112" s="5">
        <v>3.9563023433991198</v>
      </c>
      <c r="I112" s="5">
        <v>4.0443532042313404</v>
      </c>
      <c r="J112" s="5">
        <v>4.1560243433292303</v>
      </c>
      <c r="K112" s="5">
        <v>4.2569444444444402</v>
      </c>
      <c r="L112" s="5">
        <v>4.3098632217891</v>
      </c>
      <c r="M112" s="5">
        <v>4.4203078288795199</v>
      </c>
      <c r="N112" s="5">
        <v>4.4972191323692998</v>
      </c>
      <c r="O112" s="5">
        <v>4.5815600870565696</v>
      </c>
      <c r="P112" s="5">
        <v>4.7410035174217597</v>
      </c>
      <c r="Q112" s="5">
        <v>5.2279174088000504</v>
      </c>
      <c r="R112" s="5">
        <v>5.3454085668549798</v>
      </c>
      <c r="S112" s="5">
        <v>5.4136217856018103</v>
      </c>
      <c r="T112" s="5">
        <v>5.4767334575144098</v>
      </c>
      <c r="U112" s="5">
        <v>5.6689805362733097</v>
      </c>
      <c r="V112" s="5">
        <v>5.6712845923079502</v>
      </c>
      <c r="W112" s="5">
        <v>5.8984776543149398</v>
      </c>
      <c r="X112" s="5">
        <v>5.9189382216402802</v>
      </c>
      <c r="Y112" s="5">
        <v>5.9845855451204599</v>
      </c>
      <c r="Z112" s="5">
        <v>6.0783120308378997</v>
      </c>
      <c r="AA112" s="5">
        <v>6.2550216250405999</v>
      </c>
      <c r="AB112" s="5">
        <v>6.3015955601803704</v>
      </c>
      <c r="AC112" s="5">
        <v>6.3122515063327498</v>
      </c>
      <c r="AD112" s="5">
        <v>6.3533585136790496</v>
      </c>
      <c r="AE112" s="5">
        <v>6.6276137438268403</v>
      </c>
      <c r="AF112" s="5">
        <v>6.6475778529146003</v>
      </c>
      <c r="AG112" s="5">
        <v>6.8177425040080903</v>
      </c>
      <c r="AH112" s="5">
        <v>6.9097817179468102</v>
      </c>
      <c r="AI112" s="5">
        <v>7.0073698199830901</v>
      </c>
      <c r="AJ112" s="5">
        <v>7.0330600605952602</v>
      </c>
      <c r="AK112" s="5">
        <v>7.0676523297490998</v>
      </c>
      <c r="AL112" s="5">
        <v>7.2216558654336298</v>
      </c>
      <c r="AM112" s="5">
        <v>7.64510951172785</v>
      </c>
      <c r="AN112" s="5">
        <v>7.6587055417700602</v>
      </c>
      <c r="AO112" s="5">
        <v>7.9274596655632603</v>
      </c>
      <c r="AP112" s="5">
        <v>8.0553559097507001</v>
      </c>
      <c r="AQ112" s="5">
        <v>8.2964299955925895</v>
      </c>
      <c r="AR112" s="5">
        <v>8.4259484095111805</v>
      </c>
      <c r="AS112" s="5">
        <v>8.5209228003595303</v>
      </c>
      <c r="AT112" s="5">
        <v>8.5638285881742995</v>
      </c>
      <c r="AU112" s="5">
        <v>8.5814270037066898</v>
      </c>
      <c r="AV112" s="5">
        <v>8.6322616778529593</v>
      </c>
      <c r="AW112" s="5">
        <v>8.6884048768097593</v>
      </c>
      <c r="AX112" s="5">
        <v>8.8121142711713407</v>
      </c>
      <c r="AY112" s="5">
        <v>8.8206579130885192</v>
      </c>
      <c r="AZ112" s="5">
        <v>9.1088350722695495</v>
      </c>
      <c r="BA112" s="5">
        <v>9.2857303649010596</v>
      </c>
      <c r="BB112" s="5">
        <v>9.3645023238691305</v>
      </c>
      <c r="BC112" s="5">
        <v>9.4488422719176697</v>
      </c>
      <c r="BD112" s="5">
        <v>9.6001901027743095</v>
      </c>
      <c r="BE112" s="5">
        <v>9.7250455934113198</v>
      </c>
      <c r="BF112" s="5">
        <v>9.7772895236192898</v>
      </c>
      <c r="BG112" s="5">
        <v>9.9977974009331003</v>
      </c>
      <c r="BH112" s="5">
        <v>10.066906405728099</v>
      </c>
      <c r="BI112" s="5">
        <v>10.088900177800401</v>
      </c>
      <c r="BJ112" s="5">
        <v>10.1064108063993</v>
      </c>
      <c r="BK112" s="5">
        <v>10.214762993073901</v>
      </c>
      <c r="BL112" s="5">
        <v>10.243316883562301</v>
      </c>
      <c r="BM112" s="5">
        <v>10.4858812977453</v>
      </c>
      <c r="BN112" s="5">
        <v>10.5864920606315</v>
      </c>
      <c r="BO112" s="5">
        <v>10.758387914563301</v>
      </c>
      <c r="BP112" s="5">
        <v>10.759932524035699</v>
      </c>
      <c r="BQ112" s="5">
        <v>10.781112951954</v>
      </c>
      <c r="BR112" s="5">
        <v>10.950542131089501</v>
      </c>
      <c r="BS112" s="5">
        <v>10.9870196632824</v>
      </c>
      <c r="BT112" s="5">
        <v>10.9893925570882</v>
      </c>
      <c r="BU112" s="5">
        <v>11.0120330811743</v>
      </c>
      <c r="BV112" s="5">
        <v>11.3505446166737</v>
      </c>
      <c r="BW112" s="5">
        <v>11.4286217649442</v>
      </c>
      <c r="BX112" s="5">
        <v>11.523167542050301</v>
      </c>
      <c r="BY112" s="5">
        <v>11.808457295671101</v>
      </c>
      <c r="BZ112" s="5">
        <v>12.5881411274441</v>
      </c>
      <c r="CA112" s="5">
        <v>12.7836789087916</v>
      </c>
      <c r="CB112" s="5">
        <v>13.0546950581935</v>
      </c>
      <c r="CC112" s="5">
        <v>13.570386666347799</v>
      </c>
      <c r="CD112" s="5">
        <v>13.6740470120642</v>
      </c>
      <c r="CE112" s="5">
        <v>13.678414393093901</v>
      </c>
      <c r="CF112" s="5">
        <v>13.8719664436233</v>
      </c>
      <c r="CG112" s="5">
        <v>14.1822229165039</v>
      </c>
      <c r="CH112" s="5">
        <v>14.281560173697301</v>
      </c>
      <c r="CI112" s="5">
        <v>14.3326325218019</v>
      </c>
      <c r="CJ112" s="5">
        <v>14.604965619087199</v>
      </c>
      <c r="CK112" s="5">
        <v>14.7891872846852</v>
      </c>
      <c r="CL112" s="5">
        <v>14.8464567776367</v>
      </c>
      <c r="CM112" s="5">
        <v>14.9658289751778</v>
      </c>
      <c r="CN112" s="5">
        <v>14.978525972601</v>
      </c>
      <c r="CO112" s="5">
        <v>15.1715926686778</v>
      </c>
      <c r="CP112" s="5">
        <v>16.1329001315077</v>
      </c>
      <c r="CQ112" s="8">
        <v>16.4906774022961</v>
      </c>
      <c r="CR112" s="8">
        <v>17.154590923691099</v>
      </c>
      <c r="CS112" s="5">
        <v>17.308872672713601</v>
      </c>
      <c r="CT112" s="5">
        <v>17.486157920077002</v>
      </c>
      <c r="CU112" s="8">
        <v>17.513768686073998</v>
      </c>
      <c r="CV112" s="5">
        <v>18.166440769856301</v>
      </c>
      <c r="CW112" s="5">
        <v>18.240942200359498</v>
      </c>
      <c r="CX112" s="5">
        <v>18.8376512472637</v>
      </c>
      <c r="CY112" s="8">
        <v>19.285364659814</v>
      </c>
      <c r="CZ112" s="5">
        <v>20.049818341957501</v>
      </c>
      <c r="DA112" s="5">
        <v>20.2924775048938</v>
      </c>
      <c r="DB112" s="5">
        <v>25.554072870735698</v>
      </c>
      <c r="DC112" s="5">
        <v>29.8335437952015</v>
      </c>
      <c r="DD112" s="5">
        <v>34.627995563913402</v>
      </c>
    </row>
  </sheetData>
  <sortState xmlns:xlrd2="http://schemas.microsoft.com/office/spreadsheetml/2017/richdata2" ref="A2:M108">
    <sortCondition ref="K2:K108"/>
  </sortState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9"/>
  <sheetViews>
    <sheetView topLeftCell="A7" workbookViewId="0">
      <selection activeCell="B11" sqref="B11:B26"/>
    </sheetView>
  </sheetViews>
  <sheetFormatPr defaultColWidth="10.90625" defaultRowHeight="14.5" x14ac:dyDescent="0.35"/>
  <cols>
    <col min="3" max="3" width="14.1796875" bestFit="1" customWidth="1"/>
  </cols>
  <sheetData>
    <row r="1" spans="1:17" x14ac:dyDescent="0.35">
      <c r="A1" s="3" t="s">
        <v>8</v>
      </c>
      <c r="B1" s="3" t="s">
        <v>144</v>
      </c>
      <c r="C1" s="3" t="s">
        <v>145</v>
      </c>
      <c r="D1" t="s">
        <v>146</v>
      </c>
      <c r="E1" t="s">
        <v>147</v>
      </c>
      <c r="F1" s="10" t="s">
        <v>148</v>
      </c>
      <c r="G1" s="10" t="s">
        <v>149</v>
      </c>
      <c r="H1" t="s">
        <v>150</v>
      </c>
      <c r="I1" t="s">
        <v>151</v>
      </c>
      <c r="J1" s="3" t="s">
        <v>152</v>
      </c>
      <c r="K1" s="3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</row>
    <row r="2" spans="1:17" x14ac:dyDescent="0.35">
      <c r="A2" s="3" t="s">
        <v>0</v>
      </c>
      <c r="B2" s="3">
        <v>0.92933333333333301</v>
      </c>
      <c r="C2" s="3">
        <v>0.93533333333333302</v>
      </c>
      <c r="D2">
        <v>534</v>
      </c>
      <c r="E2">
        <v>516</v>
      </c>
      <c r="F2" s="10">
        <v>0.93300000000000005</v>
      </c>
      <c r="G2" s="10">
        <v>0.93</v>
      </c>
      <c r="H2">
        <v>736.5</v>
      </c>
      <c r="I2">
        <v>730</v>
      </c>
      <c r="J2" s="3">
        <v>0.92823809523809497</v>
      </c>
      <c r="K2" s="3">
        <v>0.93266666666666698</v>
      </c>
      <c r="L2">
        <v>652.71428571428601</v>
      </c>
      <c r="M2">
        <v>642.28571428571399</v>
      </c>
      <c r="N2">
        <v>6.0000000000000097E-3</v>
      </c>
      <c r="O2">
        <v>-3.0000000000000001E-3</v>
      </c>
      <c r="P2">
        <v>-3.3707865168539297E-2</v>
      </c>
      <c r="Q2">
        <v>-8.8255261371351004E-3</v>
      </c>
    </row>
    <row r="3" spans="1:17" x14ac:dyDescent="0.35">
      <c r="A3" s="3" t="s">
        <v>1</v>
      </c>
      <c r="B3" s="3">
        <v>0.94499999999999995</v>
      </c>
      <c r="C3" s="3">
        <v>0.93899999999999995</v>
      </c>
      <c r="D3">
        <v>343</v>
      </c>
      <c r="E3">
        <v>363.33333333333297</v>
      </c>
      <c r="F3">
        <v>0.93300000000000005</v>
      </c>
      <c r="G3">
        <v>0.93</v>
      </c>
      <c r="H3">
        <v>736.5</v>
      </c>
      <c r="I3">
        <v>730</v>
      </c>
      <c r="J3">
        <v>0.92823809523809497</v>
      </c>
      <c r="K3">
        <v>0.93266666666666698</v>
      </c>
      <c r="L3">
        <v>652.71428571428601</v>
      </c>
      <c r="M3">
        <v>642.28571428571399</v>
      </c>
      <c r="N3">
        <v>-5.99999999999989E-3</v>
      </c>
      <c r="O3">
        <v>-3.0000000000000001E-3</v>
      </c>
      <c r="P3">
        <v>5.92808551992225E-2</v>
      </c>
      <c r="Q3">
        <v>-8.8255261371351004E-3</v>
      </c>
    </row>
    <row r="4" spans="1:17" x14ac:dyDescent="0.35">
      <c r="A4" s="3" t="s">
        <v>2</v>
      </c>
      <c r="B4" s="3">
        <v>0.93266666666666698</v>
      </c>
      <c r="C4" s="3">
        <v>0.95299999999999996</v>
      </c>
      <c r="D4">
        <v>1599.3333333333301</v>
      </c>
      <c r="E4">
        <v>1506.3333333333301</v>
      </c>
      <c r="F4">
        <v>0.93300000000000005</v>
      </c>
      <c r="G4">
        <v>0.93</v>
      </c>
      <c r="H4">
        <v>736.5</v>
      </c>
      <c r="I4">
        <v>730</v>
      </c>
      <c r="J4">
        <v>0.92823809523809497</v>
      </c>
      <c r="K4">
        <v>0.93266666666666698</v>
      </c>
      <c r="L4">
        <v>652.71428571428601</v>
      </c>
      <c r="M4">
        <v>642.28571428571399</v>
      </c>
      <c r="N4">
        <v>2.0333333333333301E-2</v>
      </c>
      <c r="O4">
        <v>-3.0000000000000001E-3</v>
      </c>
      <c r="P4">
        <v>-5.8149228845352202E-2</v>
      </c>
      <c r="Q4">
        <v>-8.8255261371351004E-3</v>
      </c>
    </row>
    <row r="5" spans="1:17" x14ac:dyDescent="0.35">
      <c r="A5" s="3" t="s">
        <v>3</v>
      </c>
      <c r="B5" s="3">
        <v>0.919333333333333</v>
      </c>
      <c r="C5" s="3">
        <v>0.920333333333333</v>
      </c>
      <c r="D5">
        <v>447</v>
      </c>
      <c r="E5">
        <v>449.33333333333297</v>
      </c>
      <c r="F5">
        <v>0.93300000000000005</v>
      </c>
      <c r="G5">
        <v>0.93</v>
      </c>
      <c r="H5">
        <v>736.5</v>
      </c>
      <c r="I5">
        <v>730</v>
      </c>
      <c r="J5">
        <v>0.92823809523809497</v>
      </c>
      <c r="K5">
        <v>0.93266666666666698</v>
      </c>
      <c r="L5">
        <v>652.71428571428601</v>
      </c>
      <c r="M5">
        <v>642.28571428571399</v>
      </c>
      <c r="N5">
        <v>1E-3</v>
      </c>
      <c r="O5">
        <v>-3.0000000000000001E-3</v>
      </c>
      <c r="P5">
        <v>5.2199850857568598E-3</v>
      </c>
      <c r="Q5">
        <v>-8.8255261371351004E-3</v>
      </c>
    </row>
    <row r="6" spans="1:17" x14ac:dyDescent="0.35">
      <c r="A6" s="3" t="s">
        <v>4</v>
      </c>
      <c r="B6" s="3">
        <v>0.912333333333333</v>
      </c>
      <c r="C6" s="3">
        <v>0.94866666666666699</v>
      </c>
      <c r="D6">
        <v>410.66666666666703</v>
      </c>
      <c r="E6">
        <v>419</v>
      </c>
      <c r="F6">
        <v>0.93300000000000005</v>
      </c>
      <c r="G6">
        <v>0.93</v>
      </c>
      <c r="H6">
        <v>736.5</v>
      </c>
      <c r="I6">
        <v>730</v>
      </c>
      <c r="J6">
        <v>0.92823809523809497</v>
      </c>
      <c r="K6">
        <v>0.93266666666666698</v>
      </c>
      <c r="L6">
        <v>652.71428571428601</v>
      </c>
      <c r="M6">
        <v>642.28571428571399</v>
      </c>
      <c r="N6">
        <v>3.6333333333333301E-2</v>
      </c>
      <c r="O6">
        <v>-3.0000000000000001E-3</v>
      </c>
      <c r="P6">
        <v>2.0292207792207698E-2</v>
      </c>
      <c r="Q6">
        <v>-8.8255261371351004E-3</v>
      </c>
    </row>
    <row r="7" spans="1:17" x14ac:dyDescent="0.35">
      <c r="A7" s="3" t="s">
        <v>5</v>
      </c>
      <c r="B7" s="3">
        <v>0.97766666666666702</v>
      </c>
      <c r="C7" s="3">
        <v>0.95166666666666699</v>
      </c>
      <c r="D7">
        <v>370.66666666666703</v>
      </c>
      <c r="E7">
        <v>384.33333333333297</v>
      </c>
      <c r="F7">
        <v>0.93300000000000005</v>
      </c>
      <c r="G7">
        <v>0.93</v>
      </c>
      <c r="H7">
        <v>736.5</v>
      </c>
      <c r="I7">
        <v>730</v>
      </c>
      <c r="J7">
        <v>0.92823809523809497</v>
      </c>
      <c r="K7">
        <v>0.93266666666666698</v>
      </c>
      <c r="L7">
        <v>652.71428571428601</v>
      </c>
      <c r="M7">
        <v>642.28571428571399</v>
      </c>
      <c r="N7">
        <v>-2.5999999999999999E-2</v>
      </c>
      <c r="O7">
        <v>-3.0000000000000001E-3</v>
      </c>
      <c r="P7">
        <v>3.6870503597122198E-2</v>
      </c>
      <c r="Q7">
        <v>-8.8255261371351004E-3</v>
      </c>
    </row>
    <row r="8" spans="1:17" x14ac:dyDescent="0.35">
      <c r="A8" s="3" t="s">
        <v>6</v>
      </c>
      <c r="B8" s="3">
        <v>0.88133333333333297</v>
      </c>
      <c r="C8" s="3">
        <v>0.88066666666666704</v>
      </c>
      <c r="D8">
        <v>864.33333333333303</v>
      </c>
      <c r="E8">
        <v>857.66666666666697</v>
      </c>
      <c r="F8">
        <v>0.93300000000000005</v>
      </c>
      <c r="G8">
        <v>0.93</v>
      </c>
      <c r="H8">
        <v>736.5</v>
      </c>
      <c r="I8">
        <v>730</v>
      </c>
      <c r="J8">
        <v>0.92823809523809497</v>
      </c>
      <c r="K8">
        <v>0.93266666666666698</v>
      </c>
      <c r="L8">
        <v>652.71428571428601</v>
      </c>
      <c r="M8">
        <v>642.28571428571399</v>
      </c>
      <c r="N8">
        <v>-6.6666666666659303E-4</v>
      </c>
      <c r="O8">
        <v>-3.0000000000000001E-3</v>
      </c>
      <c r="P8">
        <v>-7.7130736598535398E-3</v>
      </c>
      <c r="Q8">
        <v>-8.8255261371351004E-3</v>
      </c>
    </row>
    <row r="10" spans="1:17" x14ac:dyDescent="0.35">
      <c r="A10" s="3" t="s">
        <v>8</v>
      </c>
      <c r="C10" s="3" t="s">
        <v>269</v>
      </c>
      <c r="D10" s="3" t="s">
        <v>270</v>
      </c>
    </row>
    <row r="11" spans="1:17" x14ac:dyDescent="0.35">
      <c r="A11" s="3" t="s">
        <v>6</v>
      </c>
      <c r="B11" t="str">
        <f>VLOOKUP(A11,Best_Trusts!$A$1:$F$7,6,FALSE)</f>
        <v>Gloucestershire</v>
      </c>
      <c r="C11" s="3" t="s">
        <v>266</v>
      </c>
      <c r="D11" s="28">
        <v>0.88133333333333297</v>
      </c>
    </row>
    <row r="12" spans="1:17" x14ac:dyDescent="0.35">
      <c r="A12" s="3" t="s">
        <v>4</v>
      </c>
      <c r="B12" t="str">
        <f>VLOOKUP(A12,Best_Trusts!$A$1:$F$7,6,FALSE)</f>
        <v>South Warwickshire</v>
      </c>
      <c r="C12" s="3" t="s">
        <v>266</v>
      </c>
      <c r="D12" s="28">
        <v>0.912333333333333</v>
      </c>
    </row>
    <row r="13" spans="1:17" x14ac:dyDescent="0.35">
      <c r="A13" s="3" t="s">
        <v>3</v>
      </c>
      <c r="B13" t="str">
        <f>VLOOKUP(A13,Best_Trusts!$A$1:$F$7,6,FALSE)</f>
        <v>West Suffolk</v>
      </c>
      <c r="C13" s="3" t="s">
        <v>266</v>
      </c>
      <c r="D13" s="28">
        <v>0.919333333333333</v>
      </c>
    </row>
    <row r="14" spans="1:17" x14ac:dyDescent="0.35">
      <c r="A14" s="3" t="s">
        <v>0</v>
      </c>
      <c r="B14" t="str">
        <f>VLOOKUP(A14,Best_Trusts!$A$1:$F$7,6,FALSE)</f>
        <v>Walsall</v>
      </c>
      <c r="C14" s="3" t="s">
        <v>266</v>
      </c>
      <c r="D14" s="28">
        <v>0.92933333333333301</v>
      </c>
    </row>
    <row r="15" spans="1:17" x14ac:dyDescent="0.35">
      <c r="A15" s="3" t="s">
        <v>2</v>
      </c>
      <c r="B15" t="str">
        <f>VLOOKUP(A15,Best_Trusts!$A$1:$F$7,6,FALSE)</f>
        <v>Aintree</v>
      </c>
      <c r="C15" s="3" t="s">
        <v>266</v>
      </c>
      <c r="D15" s="28">
        <v>0.93266666666666698</v>
      </c>
    </row>
    <row r="16" spans="1:17" x14ac:dyDescent="0.35">
      <c r="A16" s="3" t="s">
        <v>1</v>
      </c>
      <c r="B16" t="str">
        <f>VLOOKUP(A16,Best_Trusts!$A$1:$F$7,6,FALSE)</f>
        <v>Airedale</v>
      </c>
      <c r="C16" s="3" t="s">
        <v>266</v>
      </c>
      <c r="D16" s="28">
        <v>0.94499999999999995</v>
      </c>
    </row>
    <row r="17" spans="1:4" x14ac:dyDescent="0.35">
      <c r="A17" s="3" t="s">
        <v>5</v>
      </c>
      <c r="B17" t="str">
        <f>VLOOKUP(A17,Best_Trusts!$A$1:$F$7,6,FALSE)</f>
        <v>George Eliot</v>
      </c>
      <c r="C17" s="3" t="s">
        <v>266</v>
      </c>
      <c r="D17" s="28">
        <v>0.97766666666666702</v>
      </c>
    </row>
    <row r="18" spans="1:4" x14ac:dyDescent="0.35">
      <c r="A18" s="3" t="s">
        <v>268</v>
      </c>
      <c r="B18" s="12" t="s">
        <v>268</v>
      </c>
      <c r="C18" s="3" t="s">
        <v>266</v>
      </c>
      <c r="D18" s="28">
        <v>0.92823809523809497</v>
      </c>
    </row>
    <row r="19" spans="1:4" x14ac:dyDescent="0.35">
      <c r="A19" s="3" t="s">
        <v>268</v>
      </c>
      <c r="B19" s="12" t="s">
        <v>268</v>
      </c>
      <c r="C19" s="3" t="s">
        <v>267</v>
      </c>
      <c r="D19" s="28">
        <v>0.93266666666666698</v>
      </c>
    </row>
    <row r="20" spans="1:4" x14ac:dyDescent="0.35">
      <c r="A20" s="3" t="s">
        <v>6</v>
      </c>
      <c r="B20" t="str">
        <f>VLOOKUP(A20,Best_Trusts!$A$1:$F$7,6,FALSE)</f>
        <v>Gloucestershire</v>
      </c>
      <c r="C20" s="3" t="s">
        <v>267</v>
      </c>
      <c r="D20" s="28">
        <f>VLOOKUP(A20,$A$2:$C$8,3,FALSE)</f>
        <v>0.88066666666666704</v>
      </c>
    </row>
    <row r="21" spans="1:4" x14ac:dyDescent="0.35">
      <c r="A21" s="3" t="s">
        <v>4</v>
      </c>
      <c r="B21" t="str">
        <f>VLOOKUP(A21,Best_Trusts!$A$1:$F$7,6,FALSE)</f>
        <v>South Warwickshire</v>
      </c>
      <c r="C21" s="3" t="s">
        <v>267</v>
      </c>
      <c r="D21" s="28">
        <f>VLOOKUP(A21,$A$2:$C$8,3,FALSE)</f>
        <v>0.94866666666666699</v>
      </c>
    </row>
    <row r="22" spans="1:4" x14ac:dyDescent="0.35">
      <c r="A22" s="3" t="s">
        <v>3</v>
      </c>
      <c r="B22" t="str">
        <f>VLOOKUP(A22,Best_Trusts!$A$1:$F$7,6,FALSE)</f>
        <v>West Suffolk</v>
      </c>
      <c r="C22" s="3" t="s">
        <v>267</v>
      </c>
      <c r="D22" s="28">
        <f>VLOOKUP(A22,$A$2:$C$8,3,FALSE)</f>
        <v>0.920333333333333</v>
      </c>
    </row>
    <row r="23" spans="1:4" x14ac:dyDescent="0.35">
      <c r="A23" s="3" t="s">
        <v>0</v>
      </c>
      <c r="B23" t="str">
        <f>VLOOKUP(A23,Best_Trusts!$A$1:$F$7,6,FALSE)</f>
        <v>Walsall</v>
      </c>
      <c r="C23" s="3" t="s">
        <v>267</v>
      </c>
      <c r="D23" s="28">
        <f>VLOOKUP(A23,$A$2:$C$8,3,FALSE)</f>
        <v>0.93533333333333302</v>
      </c>
    </row>
    <row r="24" spans="1:4" x14ac:dyDescent="0.35">
      <c r="A24" s="3" t="s">
        <v>2</v>
      </c>
      <c r="B24" t="str">
        <f>VLOOKUP(A24,Best_Trusts!$A$1:$F$7,6,FALSE)</f>
        <v>Aintree</v>
      </c>
      <c r="C24" s="3" t="s">
        <v>267</v>
      </c>
      <c r="D24" s="28">
        <f>VLOOKUP(A24,$A$2:$C$8,3,FALSE)</f>
        <v>0.95299999999999996</v>
      </c>
    </row>
    <row r="25" spans="1:4" x14ac:dyDescent="0.35">
      <c r="A25" s="3" t="s">
        <v>1</v>
      </c>
      <c r="B25" t="str">
        <f>VLOOKUP(A25,Best_Trusts!$A$1:$F$7,6,FALSE)</f>
        <v>Airedale</v>
      </c>
      <c r="C25" s="3" t="s">
        <v>267</v>
      </c>
      <c r="D25" s="28">
        <f>VLOOKUP(A25,$A$2:$C$8,3,FALSE)</f>
        <v>0.93899999999999995</v>
      </c>
    </row>
    <row r="26" spans="1:4" x14ac:dyDescent="0.35">
      <c r="A26" s="3" t="s">
        <v>5</v>
      </c>
      <c r="B26" t="str">
        <f>VLOOKUP(A26,Best_Trusts!$A$1:$F$7,6,FALSE)</f>
        <v>George Eliot</v>
      </c>
      <c r="C26" s="3" t="s">
        <v>267</v>
      </c>
      <c r="D26" s="28">
        <f>VLOOKUP(A26,$A$2:$C$8,3,FALSE)</f>
        <v>0.95166666666666699</v>
      </c>
    </row>
    <row r="28" spans="1:4" x14ac:dyDescent="0.35">
      <c r="A28" s="10" t="s">
        <v>279</v>
      </c>
      <c r="B28" s="10" t="s">
        <v>266</v>
      </c>
      <c r="C28" s="10">
        <v>0.93300000000000005</v>
      </c>
    </row>
    <row r="29" spans="1:4" x14ac:dyDescent="0.35">
      <c r="A29" s="10" t="s">
        <v>279</v>
      </c>
      <c r="B29" s="10" t="s">
        <v>267</v>
      </c>
      <c r="C29" s="10">
        <v>0.93</v>
      </c>
    </row>
  </sheetData>
  <sortState xmlns:xlrd2="http://schemas.microsoft.com/office/spreadsheetml/2017/richdata2" ref="A11:C17">
    <sortCondition ref="C11:C17"/>
  </sortState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/>
  </sheetViews>
  <sheetFormatPr defaultColWidth="10.90625" defaultRowHeight="14.5" x14ac:dyDescent="0.35"/>
  <sheetData>
    <row r="1" spans="1:9" x14ac:dyDescent="0.35">
      <c r="A1" t="s">
        <v>8</v>
      </c>
      <c r="B1" t="s">
        <v>146</v>
      </c>
      <c r="C1" t="s">
        <v>147</v>
      </c>
      <c r="D1" t="s">
        <v>34</v>
      </c>
      <c r="E1" t="s">
        <v>160</v>
      </c>
      <c r="F1" t="s">
        <v>150</v>
      </c>
      <c r="G1" t="s">
        <v>151</v>
      </c>
      <c r="H1" t="s">
        <v>154</v>
      </c>
      <c r="I1" t="s">
        <v>155</v>
      </c>
    </row>
    <row r="2" spans="1:9" x14ac:dyDescent="0.35">
      <c r="A2" t="s">
        <v>0</v>
      </c>
      <c r="B2">
        <v>534</v>
      </c>
      <c r="C2">
        <v>516</v>
      </c>
      <c r="D2">
        <v>-18</v>
      </c>
      <c r="E2">
        <v>-3.3707865168539297E-2</v>
      </c>
      <c r="F2">
        <v>736.5</v>
      </c>
      <c r="G2">
        <v>730</v>
      </c>
      <c r="H2">
        <v>652.71428571428601</v>
      </c>
      <c r="I2">
        <v>642.28571428571399</v>
      </c>
    </row>
    <row r="3" spans="1:9" x14ac:dyDescent="0.35">
      <c r="A3" t="s">
        <v>1</v>
      </c>
      <c r="B3">
        <v>343</v>
      </c>
      <c r="C3">
        <v>363.33333333333297</v>
      </c>
      <c r="D3">
        <v>20.3333333333333</v>
      </c>
      <c r="E3">
        <v>5.92808551992225E-2</v>
      </c>
      <c r="F3">
        <v>736.5</v>
      </c>
      <c r="G3">
        <v>730</v>
      </c>
      <c r="H3">
        <v>652.71428571428601</v>
      </c>
      <c r="I3">
        <v>642.28571428571399</v>
      </c>
    </row>
    <row r="4" spans="1:9" x14ac:dyDescent="0.35">
      <c r="A4" t="s">
        <v>2</v>
      </c>
      <c r="B4">
        <v>1599.3333333333301</v>
      </c>
      <c r="C4">
        <v>1506.3333333333301</v>
      </c>
      <c r="D4">
        <v>-93</v>
      </c>
      <c r="E4">
        <v>-5.8149228845352202E-2</v>
      </c>
      <c r="F4">
        <v>736.5</v>
      </c>
      <c r="G4">
        <v>730</v>
      </c>
      <c r="H4">
        <v>652.71428571428601</v>
      </c>
      <c r="I4">
        <v>642.28571428571399</v>
      </c>
    </row>
    <row r="5" spans="1:9" x14ac:dyDescent="0.35">
      <c r="A5" t="s">
        <v>3</v>
      </c>
      <c r="B5">
        <v>447</v>
      </c>
      <c r="C5">
        <v>449.33333333333297</v>
      </c>
      <c r="D5">
        <v>2.3333333333333099</v>
      </c>
      <c r="E5">
        <v>5.2199850857568598E-3</v>
      </c>
      <c r="F5">
        <v>736.5</v>
      </c>
      <c r="G5">
        <v>730</v>
      </c>
      <c r="H5">
        <v>652.71428571428601</v>
      </c>
      <c r="I5">
        <v>642.28571428571399</v>
      </c>
    </row>
    <row r="6" spans="1:9" x14ac:dyDescent="0.35">
      <c r="A6" t="s">
        <v>4</v>
      </c>
      <c r="B6">
        <v>410.66666666666703</v>
      </c>
      <c r="C6">
        <v>419</v>
      </c>
      <c r="D6">
        <v>8.3333333333333108</v>
      </c>
      <c r="E6">
        <v>2.0292207792207698E-2</v>
      </c>
      <c r="F6">
        <v>736.5</v>
      </c>
      <c r="G6">
        <v>730</v>
      </c>
      <c r="H6">
        <v>652.71428571428601</v>
      </c>
      <c r="I6">
        <v>642.28571428571399</v>
      </c>
    </row>
    <row r="7" spans="1:9" x14ac:dyDescent="0.35">
      <c r="A7" t="s">
        <v>5</v>
      </c>
      <c r="B7">
        <v>370.66666666666703</v>
      </c>
      <c r="C7">
        <v>384.33333333333297</v>
      </c>
      <c r="D7">
        <v>13.6666666666666</v>
      </c>
      <c r="E7">
        <v>3.6870503597122198E-2</v>
      </c>
      <c r="F7">
        <v>736.5</v>
      </c>
      <c r="G7">
        <v>730</v>
      </c>
      <c r="H7">
        <v>652.71428571428601</v>
      </c>
      <c r="I7">
        <v>642.28571428571399</v>
      </c>
    </row>
    <row r="8" spans="1:9" x14ac:dyDescent="0.35">
      <c r="A8" t="s">
        <v>6</v>
      </c>
      <c r="B8">
        <v>864.33333333333303</v>
      </c>
      <c r="C8">
        <v>857.66666666666697</v>
      </c>
      <c r="D8">
        <v>-6.6666666666667398</v>
      </c>
      <c r="E8">
        <v>-7.7130736598535398E-3</v>
      </c>
      <c r="F8">
        <v>736.5</v>
      </c>
      <c r="G8">
        <v>730</v>
      </c>
      <c r="H8">
        <v>652.71428571428601</v>
      </c>
      <c r="I8">
        <v>642.28571428571399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7"/>
  <sheetViews>
    <sheetView tabSelected="1" topLeftCell="A13" workbookViewId="0">
      <selection activeCell="F24" sqref="F24:I30"/>
    </sheetView>
  </sheetViews>
  <sheetFormatPr defaultColWidth="10.90625" defaultRowHeight="14.5" x14ac:dyDescent="0.35"/>
  <cols>
    <col min="6" max="7" width="10.90625" customWidth="1"/>
    <col min="16" max="16" width="12.08984375" customWidth="1"/>
    <col min="18" max="18" width="13.6328125" bestFit="1" customWidth="1"/>
    <col min="20" max="20" width="19.08984375" bestFit="1" customWidth="1"/>
    <col min="21" max="21" width="17.90625" bestFit="1" customWidth="1"/>
  </cols>
  <sheetData>
    <row r="1" spans="1:21" x14ac:dyDescent="0.35">
      <c r="A1" t="s">
        <v>8</v>
      </c>
      <c r="B1" s="11" t="s">
        <v>161</v>
      </c>
      <c r="C1" s="3" t="s">
        <v>162</v>
      </c>
      <c r="D1" s="11" t="s">
        <v>163</v>
      </c>
      <c r="E1" s="3" t="s">
        <v>164</v>
      </c>
      <c r="F1" t="s">
        <v>165</v>
      </c>
      <c r="G1" t="s">
        <v>166</v>
      </c>
      <c r="H1" t="s">
        <v>167</v>
      </c>
      <c r="I1" t="s">
        <v>168</v>
      </c>
      <c r="J1" s="15" t="s">
        <v>169</v>
      </c>
      <c r="K1" s="15" t="s">
        <v>170</v>
      </c>
      <c r="L1" s="18" t="s">
        <v>171</v>
      </c>
      <c r="M1" s="18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21" x14ac:dyDescent="0.35">
      <c r="A2" t="s">
        <v>0</v>
      </c>
      <c r="B2" s="11">
        <v>532.51549</v>
      </c>
      <c r="C2" s="3">
        <v>1354.44353</v>
      </c>
      <c r="D2" s="11">
        <v>546.77415666666695</v>
      </c>
      <c r="E2" s="3">
        <v>1404.9933599999999</v>
      </c>
      <c r="F2">
        <v>1889.4665299999999</v>
      </c>
      <c r="G2">
        <v>826.77588500000002</v>
      </c>
      <c r="H2">
        <v>1883.5244299999999</v>
      </c>
      <c r="I2">
        <v>870.21668999999997</v>
      </c>
      <c r="J2" s="15">
        <v>1612.01585571429</v>
      </c>
      <c r="K2" s="15">
        <v>1656.1635228571399</v>
      </c>
      <c r="L2" s="18">
        <v>702.70999476190502</v>
      </c>
      <c r="M2" s="18">
        <v>741.41657380952404</v>
      </c>
      <c r="N2">
        <v>2.6776059916429298E-2</v>
      </c>
      <c r="O2">
        <v>3.7321474746163798E-2</v>
      </c>
      <c r="P2">
        <v>5.2542419037778197E-2</v>
      </c>
      <c r="Q2">
        <v>-3.1448559186704498E-3</v>
      </c>
    </row>
    <row r="3" spans="1:21" x14ac:dyDescent="0.35">
      <c r="A3" t="s">
        <v>1</v>
      </c>
      <c r="B3" s="11">
        <v>343.71008999999998</v>
      </c>
      <c r="C3" s="3">
        <v>746.43832333333296</v>
      </c>
      <c r="D3" s="11">
        <v>369.27855666666699</v>
      </c>
      <c r="E3" s="3">
        <v>787.18660999999997</v>
      </c>
      <c r="F3">
        <v>1889.4665299999999</v>
      </c>
      <c r="G3">
        <v>826.77588500000002</v>
      </c>
      <c r="H3">
        <v>1883.5244299999999</v>
      </c>
      <c r="I3">
        <v>870.21668999999997</v>
      </c>
      <c r="J3" s="15">
        <v>1612.01585571429</v>
      </c>
      <c r="K3" s="15">
        <v>1656.1635228571399</v>
      </c>
      <c r="L3" s="18">
        <v>702.70999476190502</v>
      </c>
      <c r="M3" s="18">
        <v>741.41657380952404</v>
      </c>
      <c r="N3">
        <v>7.43896307107733E-2</v>
      </c>
      <c r="O3">
        <v>5.4590292851925203E-2</v>
      </c>
      <c r="P3">
        <v>5.2542419037778197E-2</v>
      </c>
      <c r="Q3">
        <v>-3.1448559186704498E-3</v>
      </c>
    </row>
    <row r="4" spans="1:21" x14ac:dyDescent="0.35">
      <c r="A4" t="s">
        <v>2</v>
      </c>
      <c r="B4" s="11">
        <v>1680.14663</v>
      </c>
      <c r="C4" s="3">
        <v>3728.7085833333299</v>
      </c>
      <c r="D4" s="11">
        <v>1755.24294333333</v>
      </c>
      <c r="E4" s="3">
        <v>3762.6352766666701</v>
      </c>
      <c r="F4">
        <v>1889.4665299999999</v>
      </c>
      <c r="G4">
        <v>826.77588500000002</v>
      </c>
      <c r="H4">
        <v>1883.5244299999999</v>
      </c>
      <c r="I4">
        <v>870.21668999999997</v>
      </c>
      <c r="J4" s="15">
        <v>1612.01585571429</v>
      </c>
      <c r="K4" s="15">
        <v>1656.1635228571399</v>
      </c>
      <c r="L4" s="18">
        <v>702.70999476190502</v>
      </c>
      <c r="M4" s="18">
        <v>741.41657380952404</v>
      </c>
      <c r="N4">
        <v>4.4696285426786497E-2</v>
      </c>
      <c r="O4">
        <v>9.0987784577694405E-3</v>
      </c>
      <c r="P4">
        <v>5.2542419037778197E-2</v>
      </c>
      <c r="Q4">
        <v>-3.1448559186704498E-3</v>
      </c>
    </row>
    <row r="5" spans="1:21" x14ac:dyDescent="0.35">
      <c r="A5" t="s">
        <v>3</v>
      </c>
      <c r="B5" s="11">
        <v>533.08225000000004</v>
      </c>
      <c r="C5" s="3">
        <v>1153.1381633333301</v>
      </c>
      <c r="D5" s="11">
        <v>532.26872333333301</v>
      </c>
      <c r="E5" s="3">
        <v>1154.6658333333301</v>
      </c>
      <c r="F5">
        <v>1889.4665299999999</v>
      </c>
      <c r="G5">
        <v>826.77588500000002</v>
      </c>
      <c r="H5">
        <v>1883.5244299999999</v>
      </c>
      <c r="I5">
        <v>870.21668999999997</v>
      </c>
      <c r="J5" s="15">
        <v>1612.01585571429</v>
      </c>
      <c r="K5" s="15">
        <v>1656.1635228571399</v>
      </c>
      <c r="L5" s="18">
        <v>702.70999476190502</v>
      </c>
      <c r="M5" s="18">
        <v>741.41657380952404</v>
      </c>
      <c r="N5">
        <v>-1.52608095029721E-3</v>
      </c>
      <c r="O5">
        <v>1.32479354909579E-3</v>
      </c>
      <c r="P5">
        <v>5.2542419037778197E-2</v>
      </c>
      <c r="Q5">
        <v>-3.1448559186704498E-3</v>
      </c>
    </row>
    <row r="6" spans="1:21" x14ac:dyDescent="0.35">
      <c r="A6" t="s">
        <v>4</v>
      </c>
      <c r="B6" s="11">
        <v>462.04148333333302</v>
      </c>
      <c r="C6" s="3">
        <v>1488.27541</v>
      </c>
      <c r="D6" s="11">
        <v>518.50705000000005</v>
      </c>
      <c r="E6" s="3">
        <v>1599.5047199999999</v>
      </c>
      <c r="F6">
        <v>1889.4665299999999</v>
      </c>
      <c r="G6">
        <v>826.77588500000002</v>
      </c>
      <c r="H6">
        <v>1883.5244299999999</v>
      </c>
      <c r="I6">
        <v>870.21668999999997</v>
      </c>
      <c r="J6" s="15">
        <v>1612.01585571429</v>
      </c>
      <c r="K6" s="15">
        <v>1656.1635228571399</v>
      </c>
      <c r="L6" s="18">
        <v>702.70999476190502</v>
      </c>
      <c r="M6" s="18">
        <v>741.41657380952404</v>
      </c>
      <c r="N6">
        <v>0.122208868042116</v>
      </c>
      <c r="O6">
        <v>7.4737047493111497E-2</v>
      </c>
      <c r="P6">
        <v>5.2542419037778197E-2</v>
      </c>
      <c r="Q6">
        <v>-3.1448559186704498E-3</v>
      </c>
    </row>
    <row r="7" spans="1:21" x14ac:dyDescent="0.35">
      <c r="A7" t="s">
        <v>5</v>
      </c>
      <c r="B7" s="11">
        <v>374.00483333333301</v>
      </c>
      <c r="C7" s="3">
        <v>687.71200999999996</v>
      </c>
      <c r="D7" s="11">
        <v>425.29691666666702</v>
      </c>
      <c r="E7" s="3">
        <v>743.21465333333299</v>
      </c>
      <c r="F7">
        <v>1889.4665299999999</v>
      </c>
      <c r="G7">
        <v>826.77588500000002</v>
      </c>
      <c r="H7">
        <v>1883.5244299999999</v>
      </c>
      <c r="I7">
        <v>870.21668999999997</v>
      </c>
      <c r="J7" s="15">
        <v>1612.01585571429</v>
      </c>
      <c r="K7" s="15">
        <v>1656.1635228571399</v>
      </c>
      <c r="L7" s="18">
        <v>702.70999476190502</v>
      </c>
      <c r="M7" s="18">
        <v>741.41657380952404</v>
      </c>
      <c r="N7">
        <v>0.13714283549811501</v>
      </c>
      <c r="O7">
        <v>8.0706229535432106E-2</v>
      </c>
      <c r="P7">
        <v>5.2542419037778197E-2</v>
      </c>
      <c r="Q7">
        <v>-3.1448559186704498E-3</v>
      </c>
    </row>
    <row r="8" spans="1:21" x14ac:dyDescent="0.35">
      <c r="A8" t="s">
        <v>6</v>
      </c>
      <c r="B8" s="11">
        <v>993.46918666666704</v>
      </c>
      <c r="C8" s="3">
        <v>2125.3949699999998</v>
      </c>
      <c r="D8" s="11">
        <v>1042.5476699999999</v>
      </c>
      <c r="E8" s="3">
        <v>2140.9442066666702</v>
      </c>
      <c r="F8">
        <v>1889.4665299999999</v>
      </c>
      <c r="G8">
        <v>826.77588500000002</v>
      </c>
      <c r="H8">
        <v>1883.5244299999999</v>
      </c>
      <c r="I8">
        <v>870.21668999999997</v>
      </c>
      <c r="J8" s="15">
        <v>1612.01585571429</v>
      </c>
      <c r="K8" s="15">
        <v>1656.1635228571399</v>
      </c>
      <c r="L8" s="18">
        <v>702.70999476190502</v>
      </c>
      <c r="M8" s="18">
        <v>741.41657380952404</v>
      </c>
      <c r="N8">
        <v>4.9401112779354397E-2</v>
      </c>
      <c r="O8">
        <v>7.3159280445021097E-3</v>
      </c>
      <c r="P8">
        <v>5.2542419037778197E-2</v>
      </c>
      <c r="Q8">
        <v>-3.1448559186704498E-3</v>
      </c>
    </row>
    <row r="10" spans="1:21" x14ac:dyDescent="0.35">
      <c r="A10" s="13" t="s">
        <v>273</v>
      </c>
      <c r="B10" s="13"/>
      <c r="C10" s="13"/>
      <c r="D10" s="13"/>
      <c r="F10" s="13" t="s">
        <v>274</v>
      </c>
      <c r="G10" s="13"/>
      <c r="H10" s="13"/>
      <c r="I10" s="13"/>
      <c r="K10" s="13" t="s">
        <v>277</v>
      </c>
      <c r="L10" s="13"/>
      <c r="M10" s="13"/>
      <c r="N10" s="13"/>
      <c r="O10" s="29" t="s">
        <v>280</v>
      </c>
      <c r="P10" s="30"/>
      <c r="Q10" s="30"/>
      <c r="R10" s="30"/>
      <c r="S10" s="30"/>
      <c r="T10" s="30"/>
      <c r="U10" s="31"/>
    </row>
    <row r="11" spans="1:21" x14ac:dyDescent="0.35">
      <c r="A11" s="12" t="s">
        <v>8</v>
      </c>
      <c r="B11" s="12" t="s">
        <v>269</v>
      </c>
      <c r="C11" s="11" t="s">
        <v>271</v>
      </c>
      <c r="D11" s="3" t="s">
        <v>272</v>
      </c>
      <c r="F11" s="12" t="s">
        <v>8</v>
      </c>
      <c r="G11" s="12" t="s">
        <v>269</v>
      </c>
      <c r="H11" s="11" t="s">
        <v>275</v>
      </c>
      <c r="I11" s="3" t="s">
        <v>276</v>
      </c>
      <c r="K11" s="12" t="s">
        <v>8</v>
      </c>
      <c r="L11" s="12" t="s">
        <v>269</v>
      </c>
      <c r="M11" s="22" t="s">
        <v>287</v>
      </c>
      <c r="N11" s="12"/>
      <c r="O11" s="32" t="s">
        <v>288</v>
      </c>
      <c r="P11" s="33" t="s">
        <v>269</v>
      </c>
      <c r="Q11" s="33" t="s">
        <v>283</v>
      </c>
      <c r="R11" s="33" t="s">
        <v>277</v>
      </c>
      <c r="S11" s="33" t="s">
        <v>284</v>
      </c>
      <c r="T11" s="33" t="s">
        <v>285</v>
      </c>
      <c r="U11" s="34" t="s">
        <v>286</v>
      </c>
    </row>
    <row r="12" spans="1:21" x14ac:dyDescent="0.35">
      <c r="A12" s="12" t="s">
        <v>0</v>
      </c>
      <c r="B12" s="12" t="s">
        <v>281</v>
      </c>
      <c r="C12" s="11">
        <v>532.51549</v>
      </c>
      <c r="D12" s="3">
        <v>1354.44353</v>
      </c>
      <c r="F12" s="12" t="s">
        <v>0</v>
      </c>
      <c r="G12" s="12" t="s">
        <v>278</v>
      </c>
      <c r="H12" s="19">
        <f>(D2-B2)/B2</f>
        <v>2.6776059916429763E-2</v>
      </c>
      <c r="I12" s="20">
        <f>(E2-C2)/C2</f>
        <v>3.7321474746163784E-2</v>
      </c>
      <c r="K12" s="12" t="s">
        <v>0</v>
      </c>
      <c r="L12" s="12" t="s">
        <v>282</v>
      </c>
      <c r="M12" s="23">
        <f>SUM(D2:E2)</f>
        <v>1951.7675166666668</v>
      </c>
      <c r="N12" s="21"/>
      <c r="O12" s="32" t="s">
        <v>0</v>
      </c>
      <c r="P12" s="33" t="s">
        <v>281</v>
      </c>
      <c r="Q12" s="35" t="s">
        <v>271</v>
      </c>
      <c r="R12" s="36">
        <f>VLOOKUP(O12,$K$12:$M$20,3,FALSE)</f>
        <v>1951.7675166666668</v>
      </c>
      <c r="S12" s="36">
        <f>VLOOKUP(O12,$A$12:$D$20,3,FALSE)</f>
        <v>532.51549</v>
      </c>
      <c r="T12" s="37">
        <f>VLOOKUP(O12,$F$12:$I$20,3,FALSE)</f>
        <v>2.6776059916429763E-2</v>
      </c>
      <c r="U12" s="38">
        <f>VLOOKUP(O12,$F$12:$I$20,4,FALSE)</f>
        <v>3.7321474746163784E-2</v>
      </c>
    </row>
    <row r="13" spans="1:21" x14ac:dyDescent="0.35">
      <c r="A13" s="12" t="s">
        <v>1</v>
      </c>
      <c r="B13" s="12" t="s">
        <v>281</v>
      </c>
      <c r="C13" s="11">
        <v>343.71008999999998</v>
      </c>
      <c r="D13" s="3">
        <v>746.43832333333296</v>
      </c>
      <c r="F13" s="12" t="s">
        <v>1</v>
      </c>
      <c r="G13" s="12" t="s">
        <v>278</v>
      </c>
      <c r="H13" s="19">
        <f>(D3-B3)/B3</f>
        <v>7.4389630710774327E-2</v>
      </c>
      <c r="I13" s="20">
        <f>(E3-C3)/C3</f>
        <v>5.4590292851925647E-2</v>
      </c>
      <c r="K13" s="12" t="s">
        <v>1</v>
      </c>
      <c r="L13" s="12" t="s">
        <v>282</v>
      </c>
      <c r="M13" s="23">
        <f t="shared" ref="M13:M18" si="0">SUM(D3:E3)</f>
        <v>1156.4651666666668</v>
      </c>
      <c r="N13" s="21"/>
      <c r="O13" s="32" t="s">
        <v>1</v>
      </c>
      <c r="P13" s="33" t="s">
        <v>281</v>
      </c>
      <c r="Q13" s="35" t="s">
        <v>271</v>
      </c>
      <c r="R13" s="36">
        <f t="shared" ref="R13:R47" si="1">VLOOKUP(O13,$K$12:$M$20,3,FALSE)</f>
        <v>1156.4651666666668</v>
      </c>
      <c r="S13" s="36">
        <f t="shared" ref="S13:S20" si="2">VLOOKUP(O13,$A$12:$D$20,3,FALSE)</f>
        <v>343.71008999999998</v>
      </c>
      <c r="T13" s="37">
        <f t="shared" ref="T13:T47" si="3">VLOOKUP(O13,$F$12:$I$20,3,FALSE)</f>
        <v>7.4389630710774327E-2</v>
      </c>
      <c r="U13" s="38">
        <f t="shared" ref="U13:U47" si="4">VLOOKUP(O13,$F$12:$I$20,4,FALSE)</f>
        <v>5.4590292851925647E-2</v>
      </c>
    </row>
    <row r="14" spans="1:21" x14ac:dyDescent="0.35">
      <c r="A14" s="12" t="s">
        <v>2</v>
      </c>
      <c r="B14" s="12" t="s">
        <v>281</v>
      </c>
      <c r="C14" s="11">
        <v>1680.14663</v>
      </c>
      <c r="D14" s="3">
        <v>3728.7085833333299</v>
      </c>
      <c r="F14" s="12" t="s">
        <v>2</v>
      </c>
      <c r="G14" s="12" t="s">
        <v>278</v>
      </c>
      <c r="H14" s="19">
        <f>(D4-B4)/B4</f>
        <v>4.4696285426784471E-2</v>
      </c>
      <c r="I14" s="20">
        <f>(E4-C4)/C4</f>
        <v>9.0987784577712758E-3</v>
      </c>
      <c r="K14" s="12" t="s">
        <v>2</v>
      </c>
      <c r="L14" s="12" t="s">
        <v>282</v>
      </c>
      <c r="M14" s="23">
        <f t="shared" si="0"/>
        <v>5517.8782200000005</v>
      </c>
      <c r="N14" s="21"/>
      <c r="O14" s="32" t="s">
        <v>2</v>
      </c>
      <c r="P14" s="33" t="s">
        <v>281</v>
      </c>
      <c r="Q14" s="35" t="s">
        <v>271</v>
      </c>
      <c r="R14" s="36">
        <f t="shared" si="1"/>
        <v>5517.8782200000005</v>
      </c>
      <c r="S14" s="36">
        <f t="shared" si="2"/>
        <v>1680.14663</v>
      </c>
      <c r="T14" s="37">
        <f t="shared" si="3"/>
        <v>4.4696285426784471E-2</v>
      </c>
      <c r="U14" s="38">
        <f t="shared" si="4"/>
        <v>9.0987784577712758E-3</v>
      </c>
    </row>
    <row r="15" spans="1:21" x14ac:dyDescent="0.35">
      <c r="A15" s="12" t="s">
        <v>3</v>
      </c>
      <c r="B15" s="12" t="s">
        <v>281</v>
      </c>
      <c r="C15" s="11">
        <v>533.08225000000004</v>
      </c>
      <c r="D15" s="3">
        <v>1153.1381633333301</v>
      </c>
      <c r="F15" s="12" t="s">
        <v>3</v>
      </c>
      <c r="G15" s="12" t="s">
        <v>278</v>
      </c>
      <c r="H15" s="19">
        <f>(D5-B5)/B5</f>
        <v>-1.5260809502980644E-3</v>
      </c>
      <c r="I15" s="20">
        <f>(E5-C5)/C5</f>
        <v>1.3247935490955996E-3</v>
      </c>
      <c r="K15" s="12" t="s">
        <v>3</v>
      </c>
      <c r="L15" s="12" t="s">
        <v>282</v>
      </c>
      <c r="M15" s="23">
        <f t="shared" si="0"/>
        <v>1686.934556666663</v>
      </c>
      <c r="N15" s="21"/>
      <c r="O15" s="32" t="s">
        <v>3</v>
      </c>
      <c r="P15" s="33" t="s">
        <v>281</v>
      </c>
      <c r="Q15" s="35" t="s">
        <v>271</v>
      </c>
      <c r="R15" s="36">
        <f t="shared" si="1"/>
        <v>1686.934556666663</v>
      </c>
      <c r="S15" s="36">
        <f t="shared" si="2"/>
        <v>533.08225000000004</v>
      </c>
      <c r="T15" s="37">
        <f t="shared" si="3"/>
        <v>-1.5260809502980644E-3</v>
      </c>
      <c r="U15" s="38">
        <f t="shared" si="4"/>
        <v>1.3247935490955996E-3</v>
      </c>
    </row>
    <row r="16" spans="1:21" x14ac:dyDescent="0.35">
      <c r="A16" s="12" t="s">
        <v>4</v>
      </c>
      <c r="B16" s="12" t="s">
        <v>281</v>
      </c>
      <c r="C16" s="11">
        <v>462.04148333333302</v>
      </c>
      <c r="D16" s="3">
        <v>1488.27541</v>
      </c>
      <c r="F16" s="12" t="s">
        <v>4</v>
      </c>
      <c r="G16" s="12" t="s">
        <v>278</v>
      </c>
      <c r="H16" s="19">
        <f>(D6-B6)/B6</f>
        <v>0.12220886804211642</v>
      </c>
      <c r="I16" s="20">
        <f>(E6-C6)/C6</f>
        <v>7.4737047493111469E-2</v>
      </c>
      <c r="K16" s="12" t="s">
        <v>4</v>
      </c>
      <c r="L16" s="12" t="s">
        <v>282</v>
      </c>
      <c r="M16" s="23">
        <f t="shared" si="0"/>
        <v>2118.0117700000001</v>
      </c>
      <c r="N16" s="21"/>
      <c r="O16" s="32" t="s">
        <v>4</v>
      </c>
      <c r="P16" s="33" t="s">
        <v>281</v>
      </c>
      <c r="Q16" s="35" t="s">
        <v>271</v>
      </c>
      <c r="R16" s="36">
        <f t="shared" si="1"/>
        <v>2118.0117700000001</v>
      </c>
      <c r="S16" s="36">
        <f t="shared" si="2"/>
        <v>462.04148333333302</v>
      </c>
      <c r="T16" s="37">
        <f t="shared" si="3"/>
        <v>0.12220886804211642</v>
      </c>
      <c r="U16" s="38">
        <f t="shared" si="4"/>
        <v>7.4737047493111469E-2</v>
      </c>
    </row>
    <row r="17" spans="1:21" x14ac:dyDescent="0.35">
      <c r="A17" s="12" t="s">
        <v>5</v>
      </c>
      <c r="B17" s="12" t="s">
        <v>281</v>
      </c>
      <c r="C17" s="11">
        <v>374.00483333333301</v>
      </c>
      <c r="D17" s="3">
        <v>687.71200999999996</v>
      </c>
      <c r="F17" s="12" t="s">
        <v>5</v>
      </c>
      <c r="G17" s="12" t="s">
        <v>278</v>
      </c>
      <c r="H17" s="19">
        <f>(D7-B7)/B7</f>
        <v>0.13714283549811715</v>
      </c>
      <c r="I17" s="20">
        <f>(E7-C7)/C7</f>
        <v>8.0706229535431592E-2</v>
      </c>
      <c r="K17" s="12" t="s">
        <v>5</v>
      </c>
      <c r="L17" s="12" t="s">
        <v>282</v>
      </c>
      <c r="M17" s="23">
        <f t="shared" si="0"/>
        <v>1168.5115700000001</v>
      </c>
      <c r="N17" s="21"/>
      <c r="O17" s="32" t="s">
        <v>5</v>
      </c>
      <c r="P17" s="33" t="s">
        <v>281</v>
      </c>
      <c r="Q17" s="35" t="s">
        <v>271</v>
      </c>
      <c r="R17" s="36">
        <f t="shared" si="1"/>
        <v>1168.5115700000001</v>
      </c>
      <c r="S17" s="36">
        <f t="shared" si="2"/>
        <v>374.00483333333301</v>
      </c>
      <c r="T17" s="37">
        <f t="shared" si="3"/>
        <v>0.13714283549811715</v>
      </c>
      <c r="U17" s="38">
        <f t="shared" si="4"/>
        <v>8.0706229535431592E-2</v>
      </c>
    </row>
    <row r="18" spans="1:21" x14ac:dyDescent="0.35">
      <c r="A18" s="12" t="s">
        <v>6</v>
      </c>
      <c r="B18" s="12" t="s">
        <v>281</v>
      </c>
      <c r="C18" s="11">
        <v>993.46918666666704</v>
      </c>
      <c r="D18" s="3">
        <v>2125.3949699999998</v>
      </c>
      <c r="F18" s="12" t="s">
        <v>6</v>
      </c>
      <c r="G18" s="12" t="s">
        <v>278</v>
      </c>
      <c r="H18" s="19">
        <f>(D8-B8)/B8</f>
        <v>4.9401112779353773E-2</v>
      </c>
      <c r="I18" s="20">
        <f>(E8-C8)/C8</f>
        <v>7.3159280445038262E-3</v>
      </c>
      <c r="K18" s="12" t="s">
        <v>6</v>
      </c>
      <c r="L18" s="12" t="s">
        <v>282</v>
      </c>
      <c r="M18" s="23">
        <f t="shared" si="0"/>
        <v>3183.4918766666701</v>
      </c>
      <c r="N18" s="21"/>
      <c r="O18" s="32" t="s">
        <v>6</v>
      </c>
      <c r="P18" s="33" t="s">
        <v>281</v>
      </c>
      <c r="Q18" s="35" t="s">
        <v>271</v>
      </c>
      <c r="R18" s="36">
        <f t="shared" si="1"/>
        <v>3183.4918766666701</v>
      </c>
      <c r="S18" s="36">
        <f t="shared" si="2"/>
        <v>993.46918666666704</v>
      </c>
      <c r="T18" s="37">
        <f t="shared" si="3"/>
        <v>4.9401112779353773E-2</v>
      </c>
      <c r="U18" s="38">
        <f t="shared" si="4"/>
        <v>7.3159280445038262E-3</v>
      </c>
    </row>
    <row r="19" spans="1:21" x14ac:dyDescent="0.35">
      <c r="A19" s="12" t="s">
        <v>268</v>
      </c>
      <c r="B19" s="12" t="s">
        <v>281</v>
      </c>
      <c r="C19" s="18">
        <v>702.70999476190502</v>
      </c>
      <c r="D19" s="15">
        <v>1612.01585571429</v>
      </c>
      <c r="F19" s="12" t="s">
        <v>268</v>
      </c>
      <c r="G19" s="12" t="s">
        <v>278</v>
      </c>
      <c r="H19" s="17">
        <f>(M2-L2)/L2</f>
        <v>5.5081867820499314E-2</v>
      </c>
      <c r="I19" s="16">
        <f>(K2-J2)/J2</f>
        <v>2.7386620910926449E-2</v>
      </c>
      <c r="K19" s="12" t="s">
        <v>268</v>
      </c>
      <c r="L19" s="12" t="s">
        <v>282</v>
      </c>
      <c r="M19" s="24">
        <f>SUM(M2,K2)</f>
        <v>2397.5800966666638</v>
      </c>
      <c r="N19" s="21"/>
      <c r="O19" s="32" t="s">
        <v>268</v>
      </c>
      <c r="P19" s="33" t="s">
        <v>281</v>
      </c>
      <c r="Q19" s="35" t="s">
        <v>271</v>
      </c>
      <c r="R19" s="36">
        <f t="shared" si="1"/>
        <v>2397.5800966666638</v>
      </c>
      <c r="S19" s="36">
        <f t="shared" si="2"/>
        <v>702.70999476190502</v>
      </c>
      <c r="T19" s="37">
        <f t="shared" si="3"/>
        <v>5.5081867820499314E-2</v>
      </c>
      <c r="U19" s="38">
        <f t="shared" si="4"/>
        <v>2.7386620910926449E-2</v>
      </c>
    </row>
    <row r="20" spans="1:21" x14ac:dyDescent="0.35">
      <c r="A20" s="12" t="s">
        <v>279</v>
      </c>
      <c r="B20" s="12" t="s">
        <v>281</v>
      </c>
      <c r="C20" s="10">
        <v>826.77588500000002</v>
      </c>
      <c r="D20" s="10">
        <v>1889.4665299999999</v>
      </c>
      <c r="F20" s="12" t="s">
        <v>279</v>
      </c>
      <c r="G20" s="12" t="s">
        <v>278</v>
      </c>
      <c r="H20" s="26">
        <f>(I8-G8)/G8</f>
        <v>5.2542419037778239E-2</v>
      </c>
      <c r="I20" s="27">
        <f>(H8-F8)/F8</f>
        <v>-3.1448559186703258E-3</v>
      </c>
      <c r="K20" s="12" t="s">
        <v>279</v>
      </c>
      <c r="L20" s="12" t="s">
        <v>282</v>
      </c>
      <c r="M20" s="25">
        <f>SUM(H2:I2)</f>
        <v>2753.7411199999997</v>
      </c>
      <c r="O20" s="32" t="s">
        <v>279</v>
      </c>
      <c r="P20" s="33" t="s">
        <v>281</v>
      </c>
      <c r="Q20" s="35" t="s">
        <v>271</v>
      </c>
      <c r="R20" s="36">
        <f t="shared" si="1"/>
        <v>2753.7411199999997</v>
      </c>
      <c r="S20" s="36">
        <f t="shared" si="2"/>
        <v>826.77588500000002</v>
      </c>
      <c r="T20" s="37">
        <f t="shared" si="3"/>
        <v>5.2542419037778239E-2</v>
      </c>
      <c r="U20" s="38">
        <f t="shared" si="4"/>
        <v>-3.1448559186703258E-3</v>
      </c>
    </row>
    <row r="21" spans="1:21" x14ac:dyDescent="0.35">
      <c r="F21" s="12"/>
      <c r="G21" s="12"/>
      <c r="O21" s="32" t="s">
        <v>268</v>
      </c>
      <c r="P21" s="33" t="s">
        <v>282</v>
      </c>
      <c r="Q21" s="35" t="s">
        <v>271</v>
      </c>
      <c r="R21" s="36">
        <f t="shared" si="1"/>
        <v>2397.5800966666638</v>
      </c>
      <c r="S21" s="36">
        <f>VLOOKUP(O21,$A$22:$D$30,3,FALSE)</f>
        <v>741.41657380952404</v>
      </c>
      <c r="T21" s="37">
        <f t="shared" si="3"/>
        <v>5.5081867820499314E-2</v>
      </c>
      <c r="U21" s="38">
        <f t="shared" si="4"/>
        <v>2.7386620910926449E-2</v>
      </c>
    </row>
    <row r="22" spans="1:21" x14ac:dyDescent="0.35">
      <c r="A22" s="12" t="s">
        <v>268</v>
      </c>
      <c r="B22" s="12" t="s">
        <v>282</v>
      </c>
      <c r="C22" s="18">
        <v>741.41657380952404</v>
      </c>
      <c r="D22" s="15">
        <v>1656.1635228571399</v>
      </c>
      <c r="F22" s="46" t="s">
        <v>274</v>
      </c>
      <c r="G22" s="46"/>
      <c r="H22" s="46"/>
      <c r="I22" s="46"/>
      <c r="O22" s="32" t="s">
        <v>279</v>
      </c>
      <c r="P22" s="33" t="s">
        <v>282</v>
      </c>
      <c r="Q22" s="35" t="s">
        <v>271</v>
      </c>
      <c r="R22" s="36">
        <f t="shared" si="1"/>
        <v>2753.7411199999997</v>
      </c>
      <c r="S22" s="36">
        <f t="shared" ref="S22:S30" si="5">VLOOKUP(O22,$A$22:$D$30,3,FALSE)</f>
        <v>870.21668999999997</v>
      </c>
      <c r="T22" s="37">
        <f t="shared" si="3"/>
        <v>5.2542419037778239E-2</v>
      </c>
      <c r="U22" s="38">
        <f t="shared" si="4"/>
        <v>-3.1448559186703258E-3</v>
      </c>
    </row>
    <row r="23" spans="1:21" x14ac:dyDescent="0.35">
      <c r="A23" s="12" t="s">
        <v>0</v>
      </c>
      <c r="B23" s="12" t="s">
        <v>282</v>
      </c>
      <c r="C23" s="11">
        <v>546.77415666666695</v>
      </c>
      <c r="D23" s="3">
        <v>1404.9933599999999</v>
      </c>
      <c r="F23" s="12" t="s">
        <v>8</v>
      </c>
      <c r="G23" s="12" t="s">
        <v>269</v>
      </c>
      <c r="H23" t="s">
        <v>275</v>
      </c>
      <c r="I23" t="s">
        <v>276</v>
      </c>
      <c r="O23" s="32" t="s">
        <v>0</v>
      </c>
      <c r="P23" s="33" t="s">
        <v>282</v>
      </c>
      <c r="Q23" s="35" t="s">
        <v>271</v>
      </c>
      <c r="R23" s="36">
        <f t="shared" si="1"/>
        <v>1951.7675166666668</v>
      </c>
      <c r="S23" s="36">
        <f t="shared" si="5"/>
        <v>546.77415666666695</v>
      </c>
      <c r="T23" s="37">
        <f t="shared" si="3"/>
        <v>2.6776059916429763E-2</v>
      </c>
      <c r="U23" s="38">
        <f t="shared" si="4"/>
        <v>3.7321474746163784E-2</v>
      </c>
    </row>
    <row r="24" spans="1:21" x14ac:dyDescent="0.35">
      <c r="A24" s="12" t="s">
        <v>1</v>
      </c>
      <c r="B24" s="12" t="s">
        <v>282</v>
      </c>
      <c r="C24" s="11">
        <v>369.27855666666699</v>
      </c>
      <c r="D24" s="3">
        <v>787.18660999999997</v>
      </c>
      <c r="F24" t="s">
        <v>5</v>
      </c>
      <c r="G24" t="s">
        <v>278</v>
      </c>
      <c r="H24" s="14">
        <v>0.13714283549811701</v>
      </c>
      <c r="I24" s="14">
        <v>8.0706229535431592E-2</v>
      </c>
      <c r="O24" s="32" t="s">
        <v>1</v>
      </c>
      <c r="P24" s="33" t="s">
        <v>282</v>
      </c>
      <c r="Q24" s="35" t="s">
        <v>271</v>
      </c>
      <c r="R24" s="36">
        <f t="shared" si="1"/>
        <v>1156.4651666666668</v>
      </c>
      <c r="S24" s="36">
        <f t="shared" si="5"/>
        <v>369.27855666666699</v>
      </c>
      <c r="T24" s="37">
        <f t="shared" si="3"/>
        <v>7.4389630710774327E-2</v>
      </c>
      <c r="U24" s="38">
        <f t="shared" si="4"/>
        <v>5.4590292851925647E-2</v>
      </c>
    </row>
    <row r="25" spans="1:21" x14ac:dyDescent="0.35">
      <c r="A25" s="12" t="s">
        <v>2</v>
      </c>
      <c r="B25" s="12" t="s">
        <v>282</v>
      </c>
      <c r="C25" s="11">
        <v>1755.24294333333</v>
      </c>
      <c r="D25" s="3">
        <v>3762.6352766666701</v>
      </c>
      <c r="F25" t="s">
        <v>4</v>
      </c>
      <c r="G25" t="s">
        <v>278</v>
      </c>
      <c r="H25" s="14">
        <v>0.12220886804211642</v>
      </c>
      <c r="I25" s="14">
        <v>7.4737047493111469E-2</v>
      </c>
      <c r="O25" s="32" t="s">
        <v>2</v>
      </c>
      <c r="P25" s="33" t="s">
        <v>282</v>
      </c>
      <c r="Q25" s="35" t="s">
        <v>271</v>
      </c>
      <c r="R25" s="36">
        <f t="shared" si="1"/>
        <v>5517.8782200000005</v>
      </c>
      <c r="S25" s="36">
        <f t="shared" si="5"/>
        <v>1755.24294333333</v>
      </c>
      <c r="T25" s="37">
        <f t="shared" si="3"/>
        <v>4.4696285426784471E-2</v>
      </c>
      <c r="U25" s="38">
        <f t="shared" si="4"/>
        <v>9.0987784577712758E-3</v>
      </c>
    </row>
    <row r="26" spans="1:21" x14ac:dyDescent="0.35">
      <c r="A26" s="12" t="s">
        <v>3</v>
      </c>
      <c r="B26" s="12" t="s">
        <v>282</v>
      </c>
      <c r="C26" s="11">
        <v>532.26872333333301</v>
      </c>
      <c r="D26" s="3">
        <v>1154.6658333333301</v>
      </c>
      <c r="F26" s="12" t="s">
        <v>1</v>
      </c>
      <c r="G26" s="12" t="s">
        <v>278</v>
      </c>
      <c r="H26" s="14">
        <v>7.4389630710774327E-2</v>
      </c>
      <c r="I26" s="14">
        <v>5.4590292851925647E-2</v>
      </c>
      <c r="O26" s="32" t="s">
        <v>3</v>
      </c>
      <c r="P26" s="33" t="s">
        <v>282</v>
      </c>
      <c r="Q26" s="35" t="s">
        <v>271</v>
      </c>
      <c r="R26" s="36">
        <f t="shared" si="1"/>
        <v>1686.934556666663</v>
      </c>
      <c r="S26" s="36">
        <f t="shared" si="5"/>
        <v>532.26872333333301</v>
      </c>
      <c r="T26" s="37">
        <f t="shared" si="3"/>
        <v>-1.5260809502980644E-3</v>
      </c>
      <c r="U26" s="38">
        <f t="shared" si="4"/>
        <v>1.3247935490955996E-3</v>
      </c>
    </row>
    <row r="27" spans="1:21" x14ac:dyDescent="0.35">
      <c r="A27" s="12" t="s">
        <v>4</v>
      </c>
      <c r="B27" s="12" t="s">
        <v>282</v>
      </c>
      <c r="C27" s="11">
        <v>518.50705000000005</v>
      </c>
      <c r="D27" s="3">
        <v>1599.5047199999999</v>
      </c>
      <c r="F27" t="s">
        <v>6</v>
      </c>
      <c r="G27" t="s">
        <v>278</v>
      </c>
      <c r="H27" s="14">
        <v>4.9401112779353773E-2</v>
      </c>
      <c r="I27" s="14">
        <v>7.3159280445038262E-3</v>
      </c>
      <c r="O27" s="32" t="s">
        <v>4</v>
      </c>
      <c r="P27" s="33" t="s">
        <v>282</v>
      </c>
      <c r="Q27" s="35" t="s">
        <v>271</v>
      </c>
      <c r="R27" s="36">
        <f t="shared" si="1"/>
        <v>2118.0117700000001</v>
      </c>
      <c r="S27" s="36">
        <f t="shared" si="5"/>
        <v>518.50705000000005</v>
      </c>
      <c r="T27" s="37">
        <f t="shared" si="3"/>
        <v>0.12220886804211642</v>
      </c>
      <c r="U27" s="38">
        <f t="shared" si="4"/>
        <v>7.4737047493111469E-2</v>
      </c>
    </row>
    <row r="28" spans="1:21" x14ac:dyDescent="0.35">
      <c r="A28" s="12" t="s">
        <v>5</v>
      </c>
      <c r="B28" s="12" t="s">
        <v>282</v>
      </c>
      <c r="C28" s="11">
        <v>425.29691666666702</v>
      </c>
      <c r="D28" s="3">
        <v>743.21465333333299</v>
      </c>
      <c r="F28" s="12" t="s">
        <v>2</v>
      </c>
      <c r="G28" s="12" t="s">
        <v>278</v>
      </c>
      <c r="H28" s="14">
        <v>4.4696285426784471E-2</v>
      </c>
      <c r="I28" s="14">
        <v>9.0987784577712758E-3</v>
      </c>
      <c r="O28" s="32" t="s">
        <v>5</v>
      </c>
      <c r="P28" s="33" t="s">
        <v>282</v>
      </c>
      <c r="Q28" s="35" t="s">
        <v>271</v>
      </c>
      <c r="R28" s="36">
        <f t="shared" si="1"/>
        <v>1168.5115700000001</v>
      </c>
      <c r="S28" s="36">
        <f t="shared" si="5"/>
        <v>425.29691666666702</v>
      </c>
      <c r="T28" s="37">
        <f t="shared" si="3"/>
        <v>0.13714283549811715</v>
      </c>
      <c r="U28" s="38">
        <f t="shared" si="4"/>
        <v>8.0706229535431592E-2</v>
      </c>
    </row>
    <row r="29" spans="1:21" x14ac:dyDescent="0.35">
      <c r="A29" s="12" t="s">
        <v>6</v>
      </c>
      <c r="B29" s="12" t="s">
        <v>282</v>
      </c>
      <c r="C29" s="11">
        <v>1042.5476699999999</v>
      </c>
      <c r="D29" s="3">
        <v>2140.9442066666702</v>
      </c>
      <c r="F29" s="12" t="s">
        <v>0</v>
      </c>
      <c r="G29" s="12" t="s">
        <v>278</v>
      </c>
      <c r="H29" s="14">
        <v>2.6776059916429763E-2</v>
      </c>
      <c r="I29" s="14">
        <v>3.7321474746163784E-2</v>
      </c>
      <c r="O29" s="32" t="s">
        <v>6</v>
      </c>
      <c r="P29" s="33" t="s">
        <v>282</v>
      </c>
      <c r="Q29" s="35" t="s">
        <v>271</v>
      </c>
      <c r="R29" s="36">
        <f t="shared" si="1"/>
        <v>3183.4918766666701</v>
      </c>
      <c r="S29" s="36">
        <f t="shared" si="5"/>
        <v>1042.5476699999999</v>
      </c>
      <c r="T29" s="37">
        <f t="shared" si="3"/>
        <v>4.9401112779353773E-2</v>
      </c>
      <c r="U29" s="38">
        <f t="shared" si="4"/>
        <v>7.3159280445038262E-3</v>
      </c>
    </row>
    <row r="30" spans="1:21" x14ac:dyDescent="0.35">
      <c r="A30" s="12" t="s">
        <v>279</v>
      </c>
      <c r="B30" s="12" t="s">
        <v>282</v>
      </c>
      <c r="C30" s="10">
        <v>870.21668999999997</v>
      </c>
      <c r="D30" s="10">
        <v>1883.5244299999999</v>
      </c>
      <c r="F30" s="12" t="s">
        <v>3</v>
      </c>
      <c r="G30" s="12" t="s">
        <v>278</v>
      </c>
      <c r="H30" s="14">
        <v>-1.5260809502980644E-3</v>
      </c>
      <c r="I30" s="14">
        <v>1.3247935490955996E-3</v>
      </c>
      <c r="O30" s="32" t="s">
        <v>0</v>
      </c>
      <c r="P30" s="33" t="s">
        <v>281</v>
      </c>
      <c r="Q30" s="39" t="s">
        <v>272</v>
      </c>
      <c r="R30" s="36">
        <f t="shared" si="1"/>
        <v>1951.7675166666668</v>
      </c>
      <c r="S30" s="36">
        <f>VLOOKUP(O30,$A$12:$D$20,4,FALSE)</f>
        <v>1354.44353</v>
      </c>
      <c r="T30" s="37">
        <f t="shared" si="3"/>
        <v>2.6776059916429763E-2</v>
      </c>
      <c r="U30" s="38">
        <f t="shared" si="4"/>
        <v>3.7321474746163784E-2</v>
      </c>
    </row>
    <row r="31" spans="1:21" x14ac:dyDescent="0.35">
      <c r="F31" t="s">
        <v>268</v>
      </c>
      <c r="G31" t="s">
        <v>278</v>
      </c>
      <c r="H31" s="14">
        <v>5.5081867820499314E-2</v>
      </c>
      <c r="I31" s="14">
        <v>2.7386620910926449E-2</v>
      </c>
      <c r="O31" s="32" t="s">
        <v>1</v>
      </c>
      <c r="P31" s="33" t="s">
        <v>281</v>
      </c>
      <c r="Q31" s="39" t="s">
        <v>272</v>
      </c>
      <c r="R31" s="36">
        <f t="shared" si="1"/>
        <v>1156.4651666666668</v>
      </c>
      <c r="S31" s="36">
        <f t="shared" ref="S31:S38" si="6">VLOOKUP(O31,$A$12:$D$20,4,FALSE)</f>
        <v>746.43832333333296</v>
      </c>
      <c r="T31" s="37">
        <f t="shared" si="3"/>
        <v>7.4389630710774327E-2</v>
      </c>
      <c r="U31" s="38">
        <f t="shared" si="4"/>
        <v>5.4590292851925647E-2</v>
      </c>
    </row>
    <row r="32" spans="1:21" x14ac:dyDescent="0.35">
      <c r="F32" t="s">
        <v>279</v>
      </c>
      <c r="G32" t="s">
        <v>278</v>
      </c>
      <c r="H32" s="14">
        <v>5.2542419037778239E-2</v>
      </c>
      <c r="I32" s="14">
        <v>-3.1448559186703258E-3</v>
      </c>
      <c r="O32" s="32" t="s">
        <v>2</v>
      </c>
      <c r="P32" s="33" t="s">
        <v>281</v>
      </c>
      <c r="Q32" s="39" t="s">
        <v>272</v>
      </c>
      <c r="R32" s="36">
        <f t="shared" si="1"/>
        <v>5517.8782200000005</v>
      </c>
      <c r="S32" s="36">
        <f t="shared" si="6"/>
        <v>3728.7085833333299</v>
      </c>
      <c r="T32" s="37">
        <f t="shared" si="3"/>
        <v>4.4696285426784471E-2</v>
      </c>
      <c r="U32" s="38">
        <f t="shared" si="4"/>
        <v>9.0987784577712758E-3</v>
      </c>
    </row>
    <row r="33" spans="15:21" x14ac:dyDescent="0.35">
      <c r="O33" s="32" t="s">
        <v>3</v>
      </c>
      <c r="P33" s="33" t="s">
        <v>281</v>
      </c>
      <c r="Q33" s="39" t="s">
        <v>272</v>
      </c>
      <c r="R33" s="36">
        <f t="shared" si="1"/>
        <v>1686.934556666663</v>
      </c>
      <c r="S33" s="36">
        <f t="shared" si="6"/>
        <v>1153.1381633333301</v>
      </c>
      <c r="T33" s="37">
        <f t="shared" si="3"/>
        <v>-1.5260809502980644E-3</v>
      </c>
      <c r="U33" s="38">
        <f t="shared" si="4"/>
        <v>1.3247935490955996E-3</v>
      </c>
    </row>
    <row r="34" spans="15:21" x14ac:dyDescent="0.35">
      <c r="O34" s="32" t="s">
        <v>4</v>
      </c>
      <c r="P34" s="33" t="s">
        <v>281</v>
      </c>
      <c r="Q34" s="39" t="s">
        <v>272</v>
      </c>
      <c r="R34" s="36">
        <f t="shared" si="1"/>
        <v>2118.0117700000001</v>
      </c>
      <c r="S34" s="36">
        <f t="shared" si="6"/>
        <v>1488.27541</v>
      </c>
      <c r="T34" s="37">
        <f t="shared" si="3"/>
        <v>0.12220886804211642</v>
      </c>
      <c r="U34" s="38">
        <f t="shared" si="4"/>
        <v>7.4737047493111469E-2</v>
      </c>
    </row>
    <row r="35" spans="15:21" x14ac:dyDescent="0.35">
      <c r="O35" s="32" t="s">
        <v>5</v>
      </c>
      <c r="P35" s="33" t="s">
        <v>281</v>
      </c>
      <c r="Q35" s="39" t="s">
        <v>272</v>
      </c>
      <c r="R35" s="36">
        <f t="shared" si="1"/>
        <v>1168.5115700000001</v>
      </c>
      <c r="S35" s="36">
        <f t="shared" si="6"/>
        <v>687.71200999999996</v>
      </c>
      <c r="T35" s="37">
        <f t="shared" si="3"/>
        <v>0.13714283549811715</v>
      </c>
      <c r="U35" s="38">
        <f t="shared" si="4"/>
        <v>8.0706229535431592E-2</v>
      </c>
    </row>
    <row r="36" spans="15:21" x14ac:dyDescent="0.35">
      <c r="O36" s="32" t="s">
        <v>6</v>
      </c>
      <c r="P36" s="33" t="s">
        <v>281</v>
      </c>
      <c r="Q36" s="39" t="s">
        <v>272</v>
      </c>
      <c r="R36" s="36">
        <f t="shared" si="1"/>
        <v>3183.4918766666701</v>
      </c>
      <c r="S36" s="36">
        <f t="shared" si="6"/>
        <v>2125.3949699999998</v>
      </c>
      <c r="T36" s="37">
        <f t="shared" si="3"/>
        <v>4.9401112779353773E-2</v>
      </c>
      <c r="U36" s="38">
        <f t="shared" si="4"/>
        <v>7.3159280445038262E-3</v>
      </c>
    </row>
    <row r="37" spans="15:21" x14ac:dyDescent="0.35">
      <c r="O37" s="32" t="s">
        <v>268</v>
      </c>
      <c r="P37" s="33" t="s">
        <v>281</v>
      </c>
      <c r="Q37" s="39" t="s">
        <v>272</v>
      </c>
      <c r="R37" s="36">
        <f t="shared" si="1"/>
        <v>2397.5800966666638</v>
      </c>
      <c r="S37" s="36">
        <f t="shared" si="6"/>
        <v>1612.01585571429</v>
      </c>
      <c r="T37" s="37">
        <f t="shared" si="3"/>
        <v>5.5081867820499314E-2</v>
      </c>
      <c r="U37" s="38">
        <f t="shared" si="4"/>
        <v>2.7386620910926449E-2</v>
      </c>
    </row>
    <row r="38" spans="15:21" x14ac:dyDescent="0.35">
      <c r="O38" s="32" t="s">
        <v>279</v>
      </c>
      <c r="P38" s="33" t="s">
        <v>281</v>
      </c>
      <c r="Q38" s="39" t="s">
        <v>272</v>
      </c>
      <c r="R38" s="36">
        <f t="shared" si="1"/>
        <v>2753.7411199999997</v>
      </c>
      <c r="S38" s="36">
        <f t="shared" si="6"/>
        <v>1889.4665299999999</v>
      </c>
      <c r="T38" s="37">
        <f t="shared" si="3"/>
        <v>5.2542419037778239E-2</v>
      </c>
      <c r="U38" s="38">
        <f t="shared" si="4"/>
        <v>-3.1448559186703258E-3</v>
      </c>
    </row>
    <row r="39" spans="15:21" x14ac:dyDescent="0.35">
      <c r="O39" s="32" t="s">
        <v>268</v>
      </c>
      <c r="P39" s="33" t="s">
        <v>282</v>
      </c>
      <c r="Q39" s="39" t="s">
        <v>272</v>
      </c>
      <c r="R39" s="36">
        <f t="shared" si="1"/>
        <v>2397.5800966666638</v>
      </c>
      <c r="S39" s="36">
        <f>VLOOKUP(O39,$A$22:$D$30,4,FALSE)</f>
        <v>1656.1635228571399</v>
      </c>
      <c r="T39" s="37">
        <f t="shared" si="3"/>
        <v>5.5081867820499314E-2</v>
      </c>
      <c r="U39" s="38">
        <f t="shared" si="4"/>
        <v>2.7386620910926449E-2</v>
      </c>
    </row>
    <row r="40" spans="15:21" x14ac:dyDescent="0.35">
      <c r="O40" s="32" t="s">
        <v>279</v>
      </c>
      <c r="P40" s="33" t="s">
        <v>282</v>
      </c>
      <c r="Q40" s="39" t="s">
        <v>272</v>
      </c>
      <c r="R40" s="36">
        <f t="shared" si="1"/>
        <v>2753.7411199999997</v>
      </c>
      <c r="S40" s="36">
        <f t="shared" ref="S40:S47" si="7">VLOOKUP(O40,$A$22:$D$30,4,FALSE)</f>
        <v>1883.5244299999999</v>
      </c>
      <c r="T40" s="37">
        <f t="shared" si="3"/>
        <v>5.2542419037778239E-2</v>
      </c>
      <c r="U40" s="38">
        <f t="shared" si="4"/>
        <v>-3.1448559186703258E-3</v>
      </c>
    </row>
    <row r="41" spans="15:21" x14ac:dyDescent="0.35">
      <c r="O41" s="32" t="s">
        <v>0</v>
      </c>
      <c r="P41" s="33" t="s">
        <v>282</v>
      </c>
      <c r="Q41" s="39" t="s">
        <v>272</v>
      </c>
      <c r="R41" s="36">
        <f t="shared" si="1"/>
        <v>1951.7675166666668</v>
      </c>
      <c r="S41" s="36">
        <f t="shared" si="7"/>
        <v>1404.9933599999999</v>
      </c>
      <c r="T41" s="37">
        <f t="shared" si="3"/>
        <v>2.6776059916429763E-2</v>
      </c>
      <c r="U41" s="38">
        <f t="shared" si="4"/>
        <v>3.7321474746163784E-2</v>
      </c>
    </row>
    <row r="42" spans="15:21" x14ac:dyDescent="0.35">
      <c r="O42" s="32" t="s">
        <v>1</v>
      </c>
      <c r="P42" s="33" t="s">
        <v>282</v>
      </c>
      <c r="Q42" s="39" t="s">
        <v>272</v>
      </c>
      <c r="R42" s="36">
        <f t="shared" si="1"/>
        <v>1156.4651666666668</v>
      </c>
      <c r="S42" s="36">
        <f t="shared" si="7"/>
        <v>787.18660999999997</v>
      </c>
      <c r="T42" s="37">
        <f t="shared" si="3"/>
        <v>7.4389630710774327E-2</v>
      </c>
      <c r="U42" s="38">
        <f t="shared" si="4"/>
        <v>5.4590292851925647E-2</v>
      </c>
    </row>
    <row r="43" spans="15:21" x14ac:dyDescent="0.35">
      <c r="O43" s="32" t="s">
        <v>2</v>
      </c>
      <c r="P43" s="33" t="s">
        <v>282</v>
      </c>
      <c r="Q43" s="39" t="s">
        <v>272</v>
      </c>
      <c r="R43" s="36">
        <f t="shared" si="1"/>
        <v>5517.8782200000005</v>
      </c>
      <c r="S43" s="36">
        <f t="shared" si="7"/>
        <v>3762.6352766666701</v>
      </c>
      <c r="T43" s="37">
        <f t="shared" si="3"/>
        <v>4.4696285426784471E-2</v>
      </c>
      <c r="U43" s="38">
        <f t="shared" si="4"/>
        <v>9.0987784577712758E-3</v>
      </c>
    </row>
    <row r="44" spans="15:21" x14ac:dyDescent="0.35">
      <c r="O44" s="32" t="s">
        <v>3</v>
      </c>
      <c r="P44" s="33" t="s">
        <v>282</v>
      </c>
      <c r="Q44" s="39" t="s">
        <v>272</v>
      </c>
      <c r="R44" s="36">
        <f t="shared" si="1"/>
        <v>1686.934556666663</v>
      </c>
      <c r="S44" s="36">
        <f t="shared" si="7"/>
        <v>1154.6658333333301</v>
      </c>
      <c r="T44" s="37">
        <f t="shared" si="3"/>
        <v>-1.5260809502980644E-3</v>
      </c>
      <c r="U44" s="38">
        <f t="shared" si="4"/>
        <v>1.3247935490955996E-3</v>
      </c>
    </row>
    <row r="45" spans="15:21" x14ac:dyDescent="0.35">
      <c r="O45" s="32" t="s">
        <v>4</v>
      </c>
      <c r="P45" s="33" t="s">
        <v>282</v>
      </c>
      <c r="Q45" s="39" t="s">
        <v>272</v>
      </c>
      <c r="R45" s="36">
        <f t="shared" si="1"/>
        <v>2118.0117700000001</v>
      </c>
      <c r="S45" s="36">
        <f t="shared" si="7"/>
        <v>1599.5047199999999</v>
      </c>
      <c r="T45" s="37">
        <f t="shared" si="3"/>
        <v>0.12220886804211642</v>
      </c>
      <c r="U45" s="38">
        <f t="shared" si="4"/>
        <v>7.4737047493111469E-2</v>
      </c>
    </row>
    <row r="46" spans="15:21" x14ac:dyDescent="0.35">
      <c r="O46" s="32" t="s">
        <v>5</v>
      </c>
      <c r="P46" s="33" t="s">
        <v>282</v>
      </c>
      <c r="Q46" s="39" t="s">
        <v>272</v>
      </c>
      <c r="R46" s="36">
        <f t="shared" si="1"/>
        <v>1168.5115700000001</v>
      </c>
      <c r="S46" s="36">
        <f t="shared" si="7"/>
        <v>743.21465333333299</v>
      </c>
      <c r="T46" s="37">
        <f t="shared" si="3"/>
        <v>0.13714283549811715</v>
      </c>
      <c r="U46" s="38">
        <f t="shared" si="4"/>
        <v>8.0706229535431592E-2</v>
      </c>
    </row>
    <row r="47" spans="15:21" x14ac:dyDescent="0.35">
      <c r="O47" s="40" t="s">
        <v>6</v>
      </c>
      <c r="P47" s="41" t="s">
        <v>282</v>
      </c>
      <c r="Q47" s="42" t="s">
        <v>272</v>
      </c>
      <c r="R47" s="43">
        <f t="shared" si="1"/>
        <v>3183.4918766666701</v>
      </c>
      <c r="S47" s="43">
        <f t="shared" si="7"/>
        <v>2140.9442066666702</v>
      </c>
      <c r="T47" s="44">
        <f t="shared" si="3"/>
        <v>4.9401112779353773E-2</v>
      </c>
      <c r="U47" s="45">
        <f t="shared" si="4"/>
        <v>7.3159280445038262E-3</v>
      </c>
    </row>
  </sheetData>
  <sortState xmlns:xlrd2="http://schemas.microsoft.com/office/spreadsheetml/2017/richdata2" ref="F24:I30">
    <sortCondition descending="1" ref="H24:H30"/>
  </sortState>
  <mergeCells count="5">
    <mergeCell ref="A10:D10"/>
    <mergeCell ref="F10:I10"/>
    <mergeCell ref="K10:N10"/>
    <mergeCell ref="O10:U10"/>
    <mergeCell ref="F22:I22"/>
  </mergeCells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"/>
  <sheetViews>
    <sheetView workbookViewId="0"/>
  </sheetViews>
  <sheetFormatPr defaultColWidth="10.90625" defaultRowHeight="14.5" x14ac:dyDescent="0.35"/>
  <sheetData>
    <row r="1" spans="1:19" x14ac:dyDescent="0.35">
      <c r="A1" t="s">
        <v>8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</row>
    <row r="2" spans="1:19" x14ac:dyDescent="0.35">
      <c r="A2" t="s">
        <v>0</v>
      </c>
      <c r="B2">
        <v>163</v>
      </c>
      <c r="C2">
        <v>12.5</v>
      </c>
      <c r="D2">
        <v>40</v>
      </c>
      <c r="E2">
        <v>124.5</v>
      </c>
      <c r="F2">
        <v>13.5</v>
      </c>
      <c r="G2">
        <v>51.5</v>
      </c>
      <c r="H2">
        <v>178.5</v>
      </c>
      <c r="I2">
        <v>202</v>
      </c>
      <c r="J2">
        <v>63</v>
      </c>
      <c r="K2">
        <v>60.5</v>
      </c>
      <c r="L2">
        <v>30</v>
      </c>
      <c r="M2">
        <v>33</v>
      </c>
      <c r="N2">
        <v>290.142857142857</v>
      </c>
      <c r="O2">
        <v>250.857142857143</v>
      </c>
      <c r="P2">
        <v>63.285714285714299</v>
      </c>
      <c r="Q2">
        <v>65.857142857142904</v>
      </c>
      <c r="R2">
        <v>40.214285714285701</v>
      </c>
      <c r="S2">
        <v>30.1428571428571</v>
      </c>
    </row>
    <row r="3" spans="1:19" x14ac:dyDescent="0.35">
      <c r="A3" t="s">
        <v>1</v>
      </c>
      <c r="B3">
        <v>101</v>
      </c>
      <c r="C3">
        <v>43</v>
      </c>
      <c r="D3">
        <v>23</v>
      </c>
      <c r="E3">
        <v>108.5</v>
      </c>
      <c r="F3">
        <v>25</v>
      </c>
      <c r="G3">
        <v>26</v>
      </c>
      <c r="H3">
        <v>178.5</v>
      </c>
      <c r="I3">
        <v>202</v>
      </c>
      <c r="J3">
        <v>63</v>
      </c>
      <c r="K3">
        <v>60.5</v>
      </c>
      <c r="L3">
        <v>30</v>
      </c>
      <c r="M3">
        <v>33</v>
      </c>
      <c r="N3">
        <v>290.142857142857</v>
      </c>
      <c r="O3">
        <v>250.857142857143</v>
      </c>
      <c r="P3">
        <v>63.285714285714299</v>
      </c>
      <c r="Q3">
        <v>65.857142857142904</v>
      </c>
      <c r="R3">
        <v>40.214285714285701</v>
      </c>
      <c r="S3">
        <v>30.1428571428571</v>
      </c>
    </row>
    <row r="4" spans="1:19" x14ac:dyDescent="0.35">
      <c r="A4" t="s">
        <v>2</v>
      </c>
      <c r="B4">
        <v>910.5</v>
      </c>
      <c r="C4">
        <v>73</v>
      </c>
      <c r="D4">
        <v>113.5</v>
      </c>
      <c r="E4">
        <v>907</v>
      </c>
      <c r="F4">
        <v>80</v>
      </c>
      <c r="G4">
        <v>83</v>
      </c>
      <c r="H4">
        <v>178.5</v>
      </c>
      <c r="I4">
        <v>202</v>
      </c>
      <c r="J4">
        <v>63</v>
      </c>
      <c r="K4">
        <v>60.5</v>
      </c>
      <c r="L4">
        <v>30</v>
      </c>
      <c r="M4">
        <v>33</v>
      </c>
      <c r="N4">
        <v>290.142857142857</v>
      </c>
      <c r="O4">
        <v>250.857142857143</v>
      </c>
      <c r="P4">
        <v>63.285714285714299</v>
      </c>
      <c r="Q4">
        <v>65.857142857142904</v>
      </c>
      <c r="R4">
        <v>40.214285714285701</v>
      </c>
      <c r="S4">
        <v>30.1428571428571</v>
      </c>
    </row>
    <row r="5" spans="1:19" x14ac:dyDescent="0.35">
      <c r="A5" t="s">
        <v>3</v>
      </c>
      <c r="B5">
        <v>107.5</v>
      </c>
      <c r="C5">
        <v>138</v>
      </c>
      <c r="D5">
        <v>27</v>
      </c>
      <c r="E5">
        <v>134.5</v>
      </c>
      <c r="F5">
        <v>142.5</v>
      </c>
      <c r="G5">
        <v>25.5</v>
      </c>
      <c r="H5">
        <v>178.5</v>
      </c>
      <c r="I5">
        <v>202</v>
      </c>
      <c r="J5">
        <v>63</v>
      </c>
      <c r="K5">
        <v>60.5</v>
      </c>
      <c r="L5">
        <v>30</v>
      </c>
      <c r="M5">
        <v>33</v>
      </c>
      <c r="N5">
        <v>290.142857142857</v>
      </c>
      <c r="O5">
        <v>250.857142857143</v>
      </c>
      <c r="P5">
        <v>63.285714285714299</v>
      </c>
      <c r="Q5">
        <v>65.857142857142904</v>
      </c>
      <c r="R5">
        <v>40.214285714285701</v>
      </c>
      <c r="S5">
        <v>30.1428571428571</v>
      </c>
    </row>
    <row r="6" spans="1:19" x14ac:dyDescent="0.35">
      <c r="A6" t="s">
        <v>4</v>
      </c>
      <c r="B6">
        <v>522.5</v>
      </c>
      <c r="C6">
        <v>28.5</v>
      </c>
      <c r="D6">
        <v>74.5</v>
      </c>
      <c r="E6">
        <v>121.5</v>
      </c>
      <c r="F6">
        <v>24</v>
      </c>
      <c r="G6">
        <v>15</v>
      </c>
      <c r="H6">
        <v>178.5</v>
      </c>
      <c r="I6">
        <v>202</v>
      </c>
      <c r="J6">
        <v>63</v>
      </c>
      <c r="K6">
        <v>60.5</v>
      </c>
      <c r="L6">
        <v>30</v>
      </c>
      <c r="M6">
        <v>33</v>
      </c>
      <c r="N6">
        <v>290.142857142857</v>
      </c>
      <c r="O6">
        <v>250.857142857143</v>
      </c>
      <c r="P6">
        <v>63.285714285714299</v>
      </c>
      <c r="Q6">
        <v>65.857142857142904</v>
      </c>
      <c r="R6">
        <v>40.214285714285701</v>
      </c>
      <c r="S6">
        <v>30.1428571428571</v>
      </c>
    </row>
    <row r="7" spans="1:19" x14ac:dyDescent="0.35">
      <c r="A7" t="s">
        <v>5</v>
      </c>
      <c r="B7">
        <v>65.5</v>
      </c>
      <c r="C7">
        <v>20</v>
      </c>
      <c r="D7">
        <v>3.5</v>
      </c>
      <c r="E7">
        <v>155.5</v>
      </c>
      <c r="F7">
        <v>49.5</v>
      </c>
      <c r="G7">
        <v>10</v>
      </c>
      <c r="H7">
        <v>178.5</v>
      </c>
      <c r="I7">
        <v>202</v>
      </c>
      <c r="J7">
        <v>63</v>
      </c>
      <c r="K7">
        <v>60.5</v>
      </c>
      <c r="L7">
        <v>30</v>
      </c>
      <c r="M7">
        <v>33</v>
      </c>
      <c r="N7">
        <v>290.142857142857</v>
      </c>
      <c r="O7">
        <v>250.857142857143</v>
      </c>
      <c r="P7">
        <v>63.285714285714299</v>
      </c>
      <c r="Q7">
        <v>65.857142857142904</v>
      </c>
      <c r="R7">
        <v>40.214285714285701</v>
      </c>
      <c r="S7">
        <v>30.1428571428571</v>
      </c>
    </row>
    <row r="8" spans="1:19" x14ac:dyDescent="0.35">
      <c r="A8" t="s">
        <v>6</v>
      </c>
      <c r="B8">
        <v>161</v>
      </c>
      <c r="C8">
        <v>128</v>
      </c>
      <c r="D8">
        <v>0</v>
      </c>
      <c r="E8">
        <v>204.5</v>
      </c>
      <c r="F8">
        <v>126.5</v>
      </c>
      <c r="G8">
        <v>0</v>
      </c>
      <c r="H8">
        <v>178.5</v>
      </c>
      <c r="I8">
        <v>202</v>
      </c>
      <c r="J8">
        <v>63</v>
      </c>
      <c r="K8">
        <v>60.5</v>
      </c>
      <c r="L8">
        <v>30</v>
      </c>
      <c r="M8">
        <v>33</v>
      </c>
      <c r="N8">
        <v>290.142857142857</v>
      </c>
      <c r="O8">
        <v>250.857142857143</v>
      </c>
      <c r="P8">
        <v>63.285714285714299</v>
      </c>
      <c r="Q8">
        <v>65.857142857142904</v>
      </c>
      <c r="R8">
        <v>40.214285714285701</v>
      </c>
      <c r="S8">
        <v>30.1428571428571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defaultColWidth="10.90625" defaultRowHeight="14.5" x14ac:dyDescent="0.35"/>
  <sheetData>
    <row r="1" spans="1:7" x14ac:dyDescent="0.35">
      <c r="A1" t="s">
        <v>8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</row>
    <row r="2" spans="1:7" x14ac:dyDescent="0.35">
      <c r="A2" t="s">
        <v>0</v>
      </c>
      <c r="B2">
        <v>5.5174489484913103</v>
      </c>
      <c r="C2">
        <v>5.26530691753673</v>
      </c>
      <c r="D2">
        <v>6.23115577889447</v>
      </c>
      <c r="E2">
        <v>5.8301675977653602</v>
      </c>
      <c r="F2">
        <v>7.2398898558300697</v>
      </c>
      <c r="G2">
        <v>5.4847385950490404</v>
      </c>
    </row>
    <row r="3" spans="1:7" x14ac:dyDescent="0.35">
      <c r="A3" t="s">
        <v>1</v>
      </c>
      <c r="B3">
        <v>7.8713470317903704</v>
      </c>
      <c r="C3">
        <v>5.5267965890836299</v>
      </c>
      <c r="D3">
        <v>6.23115577889447</v>
      </c>
      <c r="E3">
        <v>5.8301675977653602</v>
      </c>
      <c r="F3">
        <v>7.2398898558300697</v>
      </c>
      <c r="G3">
        <v>5.4847385950490404</v>
      </c>
    </row>
    <row r="4" spans="1:7" x14ac:dyDescent="0.35">
      <c r="A4" t="s">
        <v>2</v>
      </c>
      <c r="B4">
        <v>9.9397268992058994</v>
      </c>
      <c r="C4">
        <v>7.0055533494065196</v>
      </c>
      <c r="D4">
        <v>6.23115577889447</v>
      </c>
      <c r="E4">
        <v>5.8301675977653602</v>
      </c>
      <c r="F4">
        <v>7.2398898558300697</v>
      </c>
      <c r="G4">
        <v>5.4847385950490404</v>
      </c>
    </row>
    <row r="5" spans="1:7" x14ac:dyDescent="0.35">
      <c r="A5" t="s">
        <v>3</v>
      </c>
      <c r="B5">
        <v>6.97177555832309</v>
      </c>
      <c r="C5">
        <v>3.7366546326342398</v>
      </c>
      <c r="D5">
        <v>6.23115577889447</v>
      </c>
      <c r="E5">
        <v>5.8301675977653602</v>
      </c>
      <c r="F5">
        <v>7.2398898558300697</v>
      </c>
      <c r="G5">
        <v>5.4847385950490404</v>
      </c>
    </row>
    <row r="6" spans="1:7" x14ac:dyDescent="0.35">
      <c r="A6" t="s">
        <v>4</v>
      </c>
      <c r="B6">
        <v>4.0073025266256499</v>
      </c>
      <c r="C6">
        <v>2.3499794748777898</v>
      </c>
      <c r="D6">
        <v>6.23115577889447</v>
      </c>
      <c r="E6">
        <v>5.8301675977653602</v>
      </c>
      <c r="F6">
        <v>7.2398898558300697</v>
      </c>
      <c r="G6">
        <v>5.4847385950490404</v>
      </c>
    </row>
    <row r="7" spans="1:7" x14ac:dyDescent="0.35">
      <c r="A7" t="s">
        <v>5</v>
      </c>
      <c r="B7">
        <v>5.5615442067304999</v>
      </c>
      <c r="C7">
        <v>5.9405664538666798</v>
      </c>
      <c r="D7">
        <v>6.23115577889447</v>
      </c>
      <c r="E7">
        <v>5.8301675977653602</v>
      </c>
      <c r="F7">
        <v>7.2398898558300697</v>
      </c>
      <c r="G7">
        <v>5.4847385950490404</v>
      </c>
    </row>
    <row r="8" spans="1:7" x14ac:dyDescent="0.35">
      <c r="A8" t="s">
        <v>6</v>
      </c>
      <c r="B8">
        <v>10.8100838196436</v>
      </c>
      <c r="C8">
        <v>8.5683127479377106</v>
      </c>
      <c r="D8">
        <v>6.23115577889447</v>
      </c>
      <c r="E8">
        <v>5.8301675977653602</v>
      </c>
      <c r="F8">
        <v>7.2398898558300697</v>
      </c>
      <c r="G8">
        <v>5.4847385950490404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defaultColWidth="10.90625" defaultRowHeight="14.5" x14ac:dyDescent="0.35"/>
  <sheetData>
    <row r="1" spans="1:3" x14ac:dyDescent="0.35">
      <c r="A1" t="s">
        <v>7</v>
      </c>
      <c r="B1" t="s">
        <v>8</v>
      </c>
      <c r="C1" t="s">
        <v>31</v>
      </c>
    </row>
    <row r="2" spans="1:3" x14ac:dyDescent="0.35">
      <c r="A2" t="s">
        <v>12</v>
      </c>
      <c r="B2" t="s">
        <v>13</v>
      </c>
      <c r="C2">
        <v>6.17325347341548</v>
      </c>
    </row>
    <row r="3" spans="1:3" x14ac:dyDescent="0.35">
      <c r="A3" t="s">
        <v>14</v>
      </c>
      <c r="B3" t="s">
        <v>13</v>
      </c>
      <c r="C3">
        <v>5.9697558268590498</v>
      </c>
    </row>
    <row r="4" spans="1:3" x14ac:dyDescent="0.35">
      <c r="A4" t="s">
        <v>15</v>
      </c>
      <c r="B4" t="s">
        <v>13</v>
      </c>
      <c r="C4">
        <v>5.93396069485041</v>
      </c>
    </row>
    <row r="5" spans="1:3" x14ac:dyDescent="0.35">
      <c r="A5" t="s">
        <v>16</v>
      </c>
      <c r="B5" t="s">
        <v>13</v>
      </c>
      <c r="C5">
        <v>6.1635423966363003</v>
      </c>
    </row>
    <row r="6" spans="1:3" x14ac:dyDescent="0.35">
      <c r="A6" t="s">
        <v>17</v>
      </c>
      <c r="B6" t="s">
        <v>13</v>
      </c>
      <c r="C6">
        <v>6.04427557335275</v>
      </c>
    </row>
    <row r="7" spans="1:3" x14ac:dyDescent="0.35">
      <c r="A7" t="s">
        <v>18</v>
      </c>
      <c r="B7" t="s">
        <v>13</v>
      </c>
      <c r="C7">
        <v>6.3068834537706104</v>
      </c>
    </row>
    <row r="8" spans="1:3" x14ac:dyDescent="0.35">
      <c r="A8" t="s">
        <v>19</v>
      </c>
      <c r="B8" t="s">
        <v>13</v>
      </c>
      <c r="C8">
        <v>6.0855722645189703</v>
      </c>
    </row>
    <row r="9" spans="1:3" x14ac:dyDescent="0.35">
      <c r="A9" t="s">
        <v>20</v>
      </c>
      <c r="B9" t="s">
        <v>13</v>
      </c>
      <c r="C9">
        <v>6.0615706368294502</v>
      </c>
    </row>
    <row r="10" spans="1:3" x14ac:dyDescent="0.35">
      <c r="A10" t="s">
        <v>21</v>
      </c>
      <c r="B10" t="s">
        <v>13</v>
      </c>
      <c r="C10">
        <v>6.0230540827147401</v>
      </c>
    </row>
    <row r="11" spans="1:3" x14ac:dyDescent="0.35">
      <c r="A11" t="s">
        <v>22</v>
      </c>
      <c r="B11" t="s">
        <v>13</v>
      </c>
      <c r="C11">
        <v>6.0566078221008501</v>
      </c>
    </row>
    <row r="12" spans="1:3" x14ac:dyDescent="0.35">
      <c r="A12" t="s">
        <v>23</v>
      </c>
      <c r="B12" t="s">
        <v>13</v>
      </c>
      <c r="C12">
        <v>6.0884951852096698</v>
      </c>
    </row>
    <row r="13" spans="1:3" x14ac:dyDescent="0.35">
      <c r="A13" t="s">
        <v>24</v>
      </c>
      <c r="B13" t="s">
        <v>13</v>
      </c>
      <c r="C13">
        <v>6.2134286602424602</v>
      </c>
    </row>
    <row r="14" spans="1:3" x14ac:dyDescent="0.35">
      <c r="A14" t="s">
        <v>25</v>
      </c>
      <c r="B14" t="s">
        <v>13</v>
      </c>
      <c r="C14">
        <v>6.1896407685881396</v>
      </c>
    </row>
    <row r="15" spans="1:3" x14ac:dyDescent="0.35">
      <c r="A15" t="s">
        <v>26</v>
      </c>
      <c r="B15" t="s">
        <v>13</v>
      </c>
      <c r="C15">
        <v>6.0373842985945902</v>
      </c>
    </row>
    <row r="16" spans="1:3" x14ac:dyDescent="0.35">
      <c r="A16" t="s">
        <v>27</v>
      </c>
      <c r="B16" t="s">
        <v>13</v>
      </c>
      <c r="C16">
        <v>6.0699194534643404</v>
      </c>
    </row>
    <row r="17" spans="1:3" x14ac:dyDescent="0.35">
      <c r="A17" t="s">
        <v>28</v>
      </c>
      <c r="B17" t="s">
        <v>13</v>
      </c>
      <c r="C17">
        <v>6.0939605318070704</v>
      </c>
    </row>
    <row r="18" spans="1:3" x14ac:dyDescent="0.35">
      <c r="A18" t="s">
        <v>29</v>
      </c>
      <c r="B18" t="s">
        <v>13</v>
      </c>
      <c r="C18">
        <v>5.8510024429281398</v>
      </c>
    </row>
    <row r="19" spans="1:3" x14ac:dyDescent="0.35">
      <c r="A19" t="s">
        <v>30</v>
      </c>
      <c r="B19" t="s">
        <v>13</v>
      </c>
      <c r="C19">
        <v>6.3030446578528103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27"/>
  <sheetViews>
    <sheetView workbookViewId="0"/>
  </sheetViews>
  <sheetFormatPr defaultColWidth="10.90625" defaultRowHeight="14.5" x14ac:dyDescent="0.35"/>
  <sheetData>
    <row r="1" spans="1:42" x14ac:dyDescent="0.35">
      <c r="A1" t="s">
        <v>7</v>
      </c>
      <c r="B1" t="s">
        <v>8</v>
      </c>
      <c r="C1" t="s">
        <v>10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228</v>
      </c>
      <c r="AF1" t="s">
        <v>229</v>
      </c>
      <c r="AG1" t="s">
        <v>230</v>
      </c>
      <c r="AH1" t="s">
        <v>31</v>
      </c>
      <c r="AI1" t="s">
        <v>231</v>
      </c>
      <c r="AJ1" t="s">
        <v>9</v>
      </c>
      <c r="AK1" t="s">
        <v>232</v>
      </c>
      <c r="AL1" t="s">
        <v>233</v>
      </c>
      <c r="AM1" t="s">
        <v>234</v>
      </c>
      <c r="AN1" t="s">
        <v>235</v>
      </c>
      <c r="AO1" t="s">
        <v>236</v>
      </c>
      <c r="AP1" t="s">
        <v>11</v>
      </c>
    </row>
    <row r="2" spans="1:42" x14ac:dyDescent="0.35">
      <c r="A2" s="1">
        <v>45383</v>
      </c>
      <c r="B2" t="s">
        <v>1</v>
      </c>
      <c r="C2">
        <v>1250</v>
      </c>
      <c r="D2">
        <v>1659</v>
      </c>
      <c r="E2">
        <v>0.82720000000000005</v>
      </c>
      <c r="F2">
        <v>0.17280000000000001</v>
      </c>
      <c r="G2">
        <v>1034</v>
      </c>
      <c r="H2">
        <v>69</v>
      </c>
      <c r="I2">
        <v>46</v>
      </c>
      <c r="J2">
        <v>31</v>
      </c>
      <c r="K2">
        <v>32</v>
      </c>
      <c r="L2">
        <v>18</v>
      </c>
      <c r="M2">
        <v>20</v>
      </c>
      <c r="N2">
        <v>0.82720000000000005</v>
      </c>
      <c r="O2">
        <v>5.5199999999999999E-2</v>
      </c>
      <c r="P2">
        <v>3.6799999999999999E-2</v>
      </c>
      <c r="Q2">
        <v>2.4799999999999999E-2</v>
      </c>
      <c r="R2">
        <v>2.5600000000000001E-2</v>
      </c>
      <c r="S2">
        <v>1.44E-2</v>
      </c>
      <c r="T2">
        <v>1.6E-2</v>
      </c>
      <c r="U2">
        <v>0.31944444444444398</v>
      </c>
      <c r="V2">
        <v>0.21296296296296299</v>
      </c>
      <c r="W2">
        <v>0.14351851851851899</v>
      </c>
      <c r="X2">
        <v>0.148148148148148</v>
      </c>
      <c r="Y2">
        <v>8.3333333333333301E-2</v>
      </c>
      <c r="Z2">
        <v>9.2592592592592601E-2</v>
      </c>
      <c r="AA2">
        <v>69</v>
      </c>
      <c r="AB2">
        <v>111</v>
      </c>
      <c r="AC2">
        <v>164</v>
      </c>
      <c r="AD2">
        <v>311</v>
      </c>
      <c r="AE2">
        <v>305</v>
      </c>
      <c r="AF2">
        <v>699</v>
      </c>
      <c r="AG2">
        <v>1.3271999999999999</v>
      </c>
      <c r="AH2">
        <v>7.6805555555555598</v>
      </c>
      <c r="AI2">
        <v>216</v>
      </c>
      <c r="AJ2">
        <v>17.28</v>
      </c>
      <c r="AK2">
        <v>354</v>
      </c>
      <c r="AL2">
        <v>338</v>
      </c>
      <c r="AM2">
        <v>336</v>
      </c>
      <c r="AN2">
        <v>0.95</v>
      </c>
      <c r="AO2">
        <v>30</v>
      </c>
      <c r="AP2">
        <v>16.360946745562099</v>
      </c>
    </row>
    <row r="3" spans="1:42" x14ac:dyDescent="0.35">
      <c r="A3" s="1">
        <v>45383</v>
      </c>
      <c r="B3" t="s">
        <v>5</v>
      </c>
      <c r="C3">
        <v>1382</v>
      </c>
      <c r="D3">
        <v>3608</v>
      </c>
      <c r="E3">
        <v>0.61287988422576001</v>
      </c>
      <c r="F3">
        <v>0.38712011577423999</v>
      </c>
      <c r="G3">
        <v>847</v>
      </c>
      <c r="H3">
        <v>154</v>
      </c>
      <c r="I3">
        <v>123</v>
      </c>
      <c r="J3">
        <v>113</v>
      </c>
      <c r="K3">
        <v>80</v>
      </c>
      <c r="L3">
        <v>25</v>
      </c>
      <c r="M3">
        <v>40</v>
      </c>
      <c r="N3">
        <v>0.61287988422576001</v>
      </c>
      <c r="O3">
        <v>0.111432706222865</v>
      </c>
      <c r="P3">
        <v>8.9001447178002902E-2</v>
      </c>
      <c r="Q3">
        <v>8.1765557163531094E-2</v>
      </c>
      <c r="R3">
        <v>5.7887120115774203E-2</v>
      </c>
      <c r="S3">
        <v>1.8089725036179401E-2</v>
      </c>
      <c r="T3">
        <v>2.8943560057887101E-2</v>
      </c>
      <c r="U3">
        <v>0.28785046728972002</v>
      </c>
      <c r="V3">
        <v>0.229906542056075</v>
      </c>
      <c r="W3">
        <v>0.21121495327102799</v>
      </c>
      <c r="X3">
        <v>0.14953271028037399</v>
      </c>
      <c r="Y3">
        <v>4.67289719626168E-2</v>
      </c>
      <c r="Z3">
        <v>7.4766355140186896E-2</v>
      </c>
      <c r="AA3">
        <v>154</v>
      </c>
      <c r="AB3">
        <v>304</v>
      </c>
      <c r="AC3">
        <v>545</v>
      </c>
      <c r="AD3">
        <v>736</v>
      </c>
      <c r="AE3">
        <v>423</v>
      </c>
      <c r="AF3">
        <v>1446</v>
      </c>
      <c r="AG3">
        <v>2.6107091172214201</v>
      </c>
      <c r="AH3">
        <v>6.7439252336448599</v>
      </c>
      <c r="AI3">
        <v>535</v>
      </c>
      <c r="AJ3">
        <v>38.712011577424001</v>
      </c>
      <c r="AK3">
        <v>382</v>
      </c>
      <c r="AL3">
        <v>382</v>
      </c>
      <c r="AM3">
        <v>379</v>
      </c>
      <c r="AN3">
        <v>0.99099999999999999</v>
      </c>
      <c r="AO3">
        <v>30</v>
      </c>
      <c r="AP3">
        <v>31.483420593368201</v>
      </c>
    </row>
    <row r="4" spans="1:42" x14ac:dyDescent="0.35">
      <c r="A4" s="1">
        <v>45383</v>
      </c>
      <c r="B4" t="s">
        <v>6</v>
      </c>
      <c r="C4">
        <v>3524</v>
      </c>
      <c r="D4">
        <v>4022</v>
      </c>
      <c r="E4">
        <v>0.90266742338252004</v>
      </c>
      <c r="F4">
        <v>9.7332576617480099E-2</v>
      </c>
      <c r="G4">
        <v>3181</v>
      </c>
      <c r="H4">
        <v>50</v>
      </c>
      <c r="I4">
        <v>51</v>
      </c>
      <c r="J4">
        <v>64</v>
      </c>
      <c r="K4">
        <v>82</v>
      </c>
      <c r="L4">
        <v>46</v>
      </c>
      <c r="M4">
        <v>50</v>
      </c>
      <c r="N4">
        <v>0.90266742338252004</v>
      </c>
      <c r="O4">
        <v>1.4188422247446099E-2</v>
      </c>
      <c r="P4">
        <v>1.4472190692395E-2</v>
      </c>
      <c r="Q4">
        <v>1.8161180476731001E-2</v>
      </c>
      <c r="R4">
        <v>2.3269012485811601E-2</v>
      </c>
      <c r="S4">
        <v>1.30533484676504E-2</v>
      </c>
      <c r="T4">
        <v>1.4188422247446099E-2</v>
      </c>
      <c r="U4">
        <v>0.14577259475218701</v>
      </c>
      <c r="V4">
        <v>0.14868804664723001</v>
      </c>
      <c r="W4">
        <v>0.186588921282799</v>
      </c>
      <c r="X4">
        <v>0.239067055393586</v>
      </c>
      <c r="Y4">
        <v>0.134110787172012</v>
      </c>
      <c r="Z4">
        <v>0.14577259475218701</v>
      </c>
      <c r="AA4">
        <v>50</v>
      </c>
      <c r="AB4">
        <v>132</v>
      </c>
      <c r="AC4">
        <v>323</v>
      </c>
      <c r="AD4">
        <v>791</v>
      </c>
      <c r="AE4">
        <v>739</v>
      </c>
      <c r="AF4">
        <v>1987</v>
      </c>
      <c r="AG4">
        <v>1.14131668558456</v>
      </c>
      <c r="AH4">
        <v>11.7259475218659</v>
      </c>
      <c r="AI4">
        <v>343</v>
      </c>
      <c r="AJ4">
        <v>9.7332576617480093</v>
      </c>
      <c r="AK4">
        <v>873</v>
      </c>
      <c r="AL4">
        <v>813</v>
      </c>
      <c r="AM4">
        <v>794</v>
      </c>
      <c r="AN4">
        <v>0.90900000000000003</v>
      </c>
      <c r="AO4">
        <v>30</v>
      </c>
      <c r="AP4">
        <v>16.490364903648999</v>
      </c>
    </row>
    <row r="5" spans="1:42" x14ac:dyDescent="0.35">
      <c r="A5" s="1">
        <v>45383</v>
      </c>
      <c r="B5" t="s">
        <v>2</v>
      </c>
      <c r="C5">
        <v>4429</v>
      </c>
      <c r="D5">
        <v>5457</v>
      </c>
      <c r="E5">
        <v>0.84262813276134596</v>
      </c>
      <c r="F5">
        <v>0.15737186723865401</v>
      </c>
      <c r="G5">
        <v>3732</v>
      </c>
      <c r="H5">
        <v>203</v>
      </c>
      <c r="I5">
        <v>142</v>
      </c>
      <c r="J5">
        <v>125</v>
      </c>
      <c r="K5">
        <v>123</v>
      </c>
      <c r="L5">
        <v>44</v>
      </c>
      <c r="M5">
        <v>60</v>
      </c>
      <c r="N5">
        <v>0.84262813276134596</v>
      </c>
      <c r="O5">
        <v>4.5834274102506199E-2</v>
      </c>
      <c r="P5">
        <v>3.2061413411605302E-2</v>
      </c>
      <c r="Q5">
        <v>2.82230751862723E-2</v>
      </c>
      <c r="R5">
        <v>2.7771505983291901E-2</v>
      </c>
      <c r="S5">
        <v>9.9345224655678493E-3</v>
      </c>
      <c r="T5">
        <v>1.3547076089410699E-2</v>
      </c>
      <c r="U5">
        <v>0.29124820659971301</v>
      </c>
      <c r="V5">
        <v>0.20373027259684401</v>
      </c>
      <c r="W5">
        <v>0.17934002869440499</v>
      </c>
      <c r="X5">
        <v>0.17647058823529399</v>
      </c>
      <c r="Y5">
        <v>6.31276901004304E-2</v>
      </c>
      <c r="Z5">
        <v>8.6083213773314196E-2</v>
      </c>
      <c r="AA5">
        <v>203</v>
      </c>
      <c r="AB5">
        <v>335</v>
      </c>
      <c r="AC5">
        <v>612</v>
      </c>
      <c r="AD5">
        <v>1084</v>
      </c>
      <c r="AE5">
        <v>725</v>
      </c>
      <c r="AF5">
        <v>2498</v>
      </c>
      <c r="AG5">
        <v>1.2321065703319001</v>
      </c>
      <c r="AH5">
        <v>7.8292682926829302</v>
      </c>
      <c r="AI5">
        <v>697</v>
      </c>
      <c r="AJ5">
        <v>15.737186723865401</v>
      </c>
      <c r="AK5">
        <v>1620</v>
      </c>
      <c r="AL5">
        <v>1620</v>
      </c>
      <c r="AM5">
        <v>1513</v>
      </c>
      <c r="AN5">
        <v>0.93300000000000005</v>
      </c>
      <c r="AO5">
        <v>30</v>
      </c>
      <c r="AP5">
        <v>11.228395061728399</v>
      </c>
    </row>
    <row r="6" spans="1:42" x14ac:dyDescent="0.35">
      <c r="A6" s="1">
        <v>45383</v>
      </c>
      <c r="B6" t="s">
        <v>4</v>
      </c>
      <c r="C6">
        <v>1660</v>
      </c>
      <c r="D6">
        <v>1248</v>
      </c>
      <c r="E6">
        <v>0.818072289156627</v>
      </c>
      <c r="F6">
        <v>0.181927710843373</v>
      </c>
      <c r="G6">
        <v>1358</v>
      </c>
      <c r="H6">
        <v>131</v>
      </c>
      <c r="I6">
        <v>83</v>
      </c>
      <c r="J6">
        <v>40</v>
      </c>
      <c r="K6">
        <v>28</v>
      </c>
      <c r="L6">
        <v>12</v>
      </c>
      <c r="M6">
        <v>8</v>
      </c>
      <c r="N6">
        <v>0.818072289156627</v>
      </c>
      <c r="O6">
        <v>7.8915662650602403E-2</v>
      </c>
      <c r="P6">
        <v>0.05</v>
      </c>
      <c r="Q6">
        <v>2.40963855421687E-2</v>
      </c>
      <c r="R6">
        <v>1.68674698795181E-2</v>
      </c>
      <c r="S6">
        <v>7.2289156626506E-3</v>
      </c>
      <c r="T6">
        <v>4.8192771084337397E-3</v>
      </c>
      <c r="U6">
        <v>0.43377483443708598</v>
      </c>
      <c r="V6">
        <v>0.27483443708609301</v>
      </c>
      <c r="W6">
        <v>0.13245033112582799</v>
      </c>
      <c r="X6">
        <v>9.27152317880795E-2</v>
      </c>
      <c r="Y6">
        <v>3.9735099337748297E-2</v>
      </c>
      <c r="Z6">
        <v>2.6490066225165601E-2</v>
      </c>
      <c r="AA6">
        <v>131</v>
      </c>
      <c r="AB6">
        <v>194</v>
      </c>
      <c r="AC6">
        <v>196</v>
      </c>
      <c r="AD6">
        <v>263</v>
      </c>
      <c r="AE6">
        <v>197</v>
      </c>
      <c r="AF6">
        <v>267</v>
      </c>
      <c r="AG6">
        <v>0.75180722891566298</v>
      </c>
      <c r="AH6">
        <v>4.1324503311258303</v>
      </c>
      <c r="AI6">
        <v>302</v>
      </c>
      <c r="AJ6">
        <v>18.192771084337402</v>
      </c>
      <c r="AK6">
        <v>400</v>
      </c>
      <c r="AL6">
        <v>383</v>
      </c>
      <c r="AM6">
        <v>377</v>
      </c>
      <c r="AN6">
        <v>0.94399999999999995</v>
      </c>
      <c r="AO6">
        <v>30</v>
      </c>
      <c r="AP6">
        <v>10.8616187989556</v>
      </c>
    </row>
    <row r="7" spans="1:42" x14ac:dyDescent="0.35">
      <c r="A7" s="1">
        <v>45383</v>
      </c>
      <c r="B7" t="s">
        <v>3</v>
      </c>
      <c r="C7">
        <v>1916</v>
      </c>
      <c r="D7">
        <v>1415</v>
      </c>
      <c r="E7">
        <v>0.85020876826722303</v>
      </c>
      <c r="F7">
        <v>0.149791231732777</v>
      </c>
      <c r="G7">
        <v>1629</v>
      </c>
      <c r="H7">
        <v>106</v>
      </c>
      <c r="I7">
        <v>60</v>
      </c>
      <c r="J7">
        <v>55</v>
      </c>
      <c r="K7">
        <v>47</v>
      </c>
      <c r="L7">
        <v>9</v>
      </c>
      <c r="M7">
        <v>10</v>
      </c>
      <c r="N7">
        <v>0.85020876826722303</v>
      </c>
      <c r="O7">
        <v>5.5323590814196202E-2</v>
      </c>
      <c r="P7">
        <v>3.1315240083507299E-2</v>
      </c>
      <c r="Q7">
        <v>2.8705636743215E-2</v>
      </c>
      <c r="R7">
        <v>2.4530271398747399E-2</v>
      </c>
      <c r="S7">
        <v>4.6972860125261001E-3</v>
      </c>
      <c r="T7">
        <v>5.2192066805845502E-3</v>
      </c>
      <c r="U7">
        <v>0.36933797909407701</v>
      </c>
      <c r="V7">
        <v>0.20905923344947699</v>
      </c>
      <c r="W7">
        <v>0.191637630662021</v>
      </c>
      <c r="X7">
        <v>0.163763066202091</v>
      </c>
      <c r="Y7">
        <v>3.1358885017421602E-2</v>
      </c>
      <c r="Z7">
        <v>3.4843205574912897E-2</v>
      </c>
      <c r="AA7">
        <v>106</v>
      </c>
      <c r="AB7">
        <v>144</v>
      </c>
      <c r="AC7">
        <v>271</v>
      </c>
      <c r="AD7">
        <v>423</v>
      </c>
      <c r="AE7">
        <v>149</v>
      </c>
      <c r="AF7">
        <v>322</v>
      </c>
      <c r="AG7">
        <v>0.73851774530271397</v>
      </c>
      <c r="AH7">
        <v>4.9303135888501703</v>
      </c>
      <c r="AI7">
        <v>287</v>
      </c>
      <c r="AJ7">
        <v>14.979123173277699</v>
      </c>
      <c r="AK7">
        <v>483</v>
      </c>
      <c r="AL7">
        <v>468</v>
      </c>
      <c r="AM7">
        <v>452</v>
      </c>
      <c r="AN7">
        <v>0.93600000000000005</v>
      </c>
      <c r="AO7">
        <v>30</v>
      </c>
      <c r="AP7">
        <v>10.0783475783476</v>
      </c>
    </row>
    <row r="8" spans="1:42" x14ac:dyDescent="0.35">
      <c r="A8" s="1">
        <v>45383</v>
      </c>
      <c r="B8" t="s">
        <v>0</v>
      </c>
      <c r="C8">
        <v>0</v>
      </c>
      <c r="D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AI8">
        <v>0</v>
      </c>
      <c r="AJ8" t="e">
        <v>#NUM!</v>
      </c>
      <c r="AK8">
        <v>537</v>
      </c>
      <c r="AL8">
        <v>489</v>
      </c>
      <c r="AM8">
        <v>486</v>
      </c>
      <c r="AN8">
        <v>0.90500000000000003</v>
      </c>
      <c r="AO8">
        <v>30</v>
      </c>
      <c r="AP8">
        <v>0</v>
      </c>
    </row>
    <row r="9" spans="1:42" x14ac:dyDescent="0.35">
      <c r="A9" s="1">
        <v>45413</v>
      </c>
      <c r="B9" t="s">
        <v>1</v>
      </c>
      <c r="C9">
        <v>1339</v>
      </c>
      <c r="D9">
        <v>1535</v>
      </c>
      <c r="E9">
        <v>0.82001493651979096</v>
      </c>
      <c r="F9">
        <v>0.17998506348020901</v>
      </c>
      <c r="G9">
        <v>1098</v>
      </c>
      <c r="H9">
        <v>60</v>
      </c>
      <c r="I9">
        <v>59</v>
      </c>
      <c r="J9">
        <v>44</v>
      </c>
      <c r="K9">
        <v>49</v>
      </c>
      <c r="L9">
        <v>15</v>
      </c>
      <c r="M9">
        <v>14</v>
      </c>
      <c r="N9">
        <v>0.82001493651979096</v>
      </c>
      <c r="O9">
        <v>4.4809559372666202E-2</v>
      </c>
      <c r="P9">
        <v>4.4062733383121701E-2</v>
      </c>
      <c r="Q9">
        <v>3.2860343539955199E-2</v>
      </c>
      <c r="R9">
        <v>3.6594473487677401E-2</v>
      </c>
      <c r="S9">
        <v>1.12023898431665E-2</v>
      </c>
      <c r="T9">
        <v>1.0455563853622099E-2</v>
      </c>
      <c r="U9">
        <v>0.24896265560166</v>
      </c>
      <c r="V9">
        <v>0.244813278008299</v>
      </c>
      <c r="W9">
        <v>0.182572614107884</v>
      </c>
      <c r="X9">
        <v>0.20331950207468899</v>
      </c>
      <c r="Y9">
        <v>6.2240663900414897E-2</v>
      </c>
      <c r="Z9">
        <v>5.8091286307053902E-2</v>
      </c>
      <c r="AA9">
        <v>60</v>
      </c>
      <c r="AB9">
        <v>136</v>
      </c>
      <c r="AC9">
        <v>220</v>
      </c>
      <c r="AD9">
        <v>461</v>
      </c>
      <c r="AE9">
        <v>235</v>
      </c>
      <c r="AF9">
        <v>423</v>
      </c>
      <c r="AG9">
        <v>1.1463778939507101</v>
      </c>
      <c r="AH9">
        <v>6.36929460580913</v>
      </c>
      <c r="AI9">
        <v>241</v>
      </c>
      <c r="AJ9">
        <v>17.9985063480209</v>
      </c>
      <c r="AK9">
        <v>356</v>
      </c>
      <c r="AL9">
        <v>341</v>
      </c>
      <c r="AM9">
        <v>342</v>
      </c>
      <c r="AN9">
        <v>0.96199999999999997</v>
      </c>
      <c r="AO9">
        <v>31</v>
      </c>
      <c r="AP9">
        <v>14.520858953741399</v>
      </c>
    </row>
    <row r="10" spans="1:42" x14ac:dyDescent="0.35">
      <c r="A10" s="1">
        <v>45413</v>
      </c>
      <c r="B10" t="s">
        <v>5</v>
      </c>
      <c r="C10">
        <v>1427</v>
      </c>
      <c r="D10">
        <v>3085</v>
      </c>
      <c r="E10">
        <v>0.63980378416257899</v>
      </c>
      <c r="F10">
        <v>0.36019621583742101</v>
      </c>
      <c r="G10">
        <v>913</v>
      </c>
      <c r="H10">
        <v>148</v>
      </c>
      <c r="I10">
        <v>122</v>
      </c>
      <c r="J10">
        <v>105</v>
      </c>
      <c r="K10">
        <v>81</v>
      </c>
      <c r="L10">
        <v>35</v>
      </c>
      <c r="M10">
        <v>23</v>
      </c>
      <c r="N10">
        <v>0.63980378416257899</v>
      </c>
      <c r="O10">
        <v>0.103714085494043</v>
      </c>
      <c r="P10">
        <v>8.54940434477926E-2</v>
      </c>
      <c r="Q10">
        <v>7.3580939032936193E-2</v>
      </c>
      <c r="R10">
        <v>5.6762438682550799E-2</v>
      </c>
      <c r="S10">
        <v>2.4526979677645399E-2</v>
      </c>
      <c r="T10">
        <v>1.6117729502452698E-2</v>
      </c>
      <c r="U10">
        <v>0.28793774319066101</v>
      </c>
      <c r="V10">
        <v>0.237354085603113</v>
      </c>
      <c r="W10">
        <v>0.20428015564202301</v>
      </c>
      <c r="X10">
        <v>0.15758754863813201</v>
      </c>
      <c r="Y10">
        <v>6.8093385214007804E-2</v>
      </c>
      <c r="Z10">
        <v>4.4747081712062299E-2</v>
      </c>
      <c r="AA10">
        <v>148</v>
      </c>
      <c r="AB10">
        <v>284</v>
      </c>
      <c r="AC10">
        <v>511</v>
      </c>
      <c r="AD10">
        <v>744</v>
      </c>
      <c r="AE10">
        <v>564</v>
      </c>
      <c r="AF10">
        <v>834</v>
      </c>
      <c r="AG10">
        <v>2.1618780658724601</v>
      </c>
      <c r="AH10">
        <v>6.0019455252918297</v>
      </c>
      <c r="AI10">
        <v>514</v>
      </c>
      <c r="AJ10">
        <v>36.019621583742101</v>
      </c>
      <c r="AK10">
        <v>380</v>
      </c>
      <c r="AL10">
        <v>380</v>
      </c>
      <c r="AM10">
        <v>376</v>
      </c>
      <c r="AN10">
        <v>0.99</v>
      </c>
      <c r="AO10">
        <v>31</v>
      </c>
      <c r="AP10">
        <v>26.188455008489001</v>
      </c>
    </row>
    <row r="11" spans="1:42" x14ac:dyDescent="0.35">
      <c r="A11" s="1">
        <v>45413</v>
      </c>
      <c r="B11" t="s">
        <v>6</v>
      </c>
      <c r="C11">
        <v>3690</v>
      </c>
      <c r="D11">
        <v>4631</v>
      </c>
      <c r="E11">
        <v>0.90379403794037905</v>
      </c>
      <c r="F11">
        <v>9.6205962059620606E-2</v>
      </c>
      <c r="G11">
        <v>3335</v>
      </c>
      <c r="H11">
        <v>55</v>
      </c>
      <c r="I11">
        <v>54</v>
      </c>
      <c r="J11">
        <v>55</v>
      </c>
      <c r="K11">
        <v>91</v>
      </c>
      <c r="L11">
        <v>34</v>
      </c>
      <c r="M11">
        <v>66</v>
      </c>
      <c r="N11">
        <v>0.90379403794037905</v>
      </c>
      <c r="O11">
        <v>1.4905149051490501E-2</v>
      </c>
      <c r="P11">
        <v>1.46341463414634E-2</v>
      </c>
      <c r="Q11">
        <v>1.4905149051490501E-2</v>
      </c>
      <c r="R11">
        <v>2.46612466124661E-2</v>
      </c>
      <c r="S11">
        <v>9.2140921409214101E-3</v>
      </c>
      <c r="T11">
        <v>1.7886178861788601E-2</v>
      </c>
      <c r="U11">
        <v>0.154929577464789</v>
      </c>
      <c r="V11">
        <v>0.15211267605633799</v>
      </c>
      <c r="W11">
        <v>0.154929577464789</v>
      </c>
      <c r="X11">
        <v>0.25633802816901402</v>
      </c>
      <c r="Y11">
        <v>9.5774647887323899E-2</v>
      </c>
      <c r="Z11">
        <v>0.18591549295774601</v>
      </c>
      <c r="AA11">
        <v>55</v>
      </c>
      <c r="AB11">
        <v>127</v>
      </c>
      <c r="AC11">
        <v>281</v>
      </c>
      <c r="AD11">
        <v>854</v>
      </c>
      <c r="AE11">
        <v>563</v>
      </c>
      <c r="AF11">
        <v>2751</v>
      </c>
      <c r="AG11">
        <v>1.2550135501355</v>
      </c>
      <c r="AH11">
        <v>13.045070422535201</v>
      </c>
      <c r="AI11">
        <v>355</v>
      </c>
      <c r="AJ11">
        <v>9.6205962059620607</v>
      </c>
      <c r="AK11">
        <v>873</v>
      </c>
      <c r="AL11">
        <v>813</v>
      </c>
      <c r="AM11">
        <v>783</v>
      </c>
      <c r="AN11">
        <v>0.89600000000000002</v>
      </c>
      <c r="AO11">
        <v>31</v>
      </c>
      <c r="AP11">
        <v>18.374796651192302</v>
      </c>
    </row>
    <row r="12" spans="1:42" x14ac:dyDescent="0.35">
      <c r="A12" s="1">
        <v>45413</v>
      </c>
      <c r="B12" t="s">
        <v>2</v>
      </c>
      <c r="C12">
        <v>4710</v>
      </c>
      <c r="D12">
        <v>6576</v>
      </c>
      <c r="E12">
        <v>0.83269639065817402</v>
      </c>
      <c r="F12">
        <v>0.167303609341826</v>
      </c>
      <c r="G12">
        <v>3922</v>
      </c>
      <c r="H12">
        <v>245</v>
      </c>
      <c r="I12">
        <v>174</v>
      </c>
      <c r="J12">
        <v>111</v>
      </c>
      <c r="K12">
        <v>130</v>
      </c>
      <c r="L12">
        <v>47</v>
      </c>
      <c r="M12">
        <v>81</v>
      </c>
      <c r="N12">
        <v>0.83269639065817402</v>
      </c>
      <c r="O12">
        <v>5.20169851380042E-2</v>
      </c>
      <c r="P12">
        <v>3.6942675159235702E-2</v>
      </c>
      <c r="Q12">
        <v>2.3566878980891701E-2</v>
      </c>
      <c r="R12">
        <v>2.7600849256900199E-2</v>
      </c>
      <c r="S12">
        <v>9.9787685774946899E-3</v>
      </c>
      <c r="T12">
        <v>1.7197452229299401E-2</v>
      </c>
      <c r="U12">
        <v>0.31091370558375597</v>
      </c>
      <c r="V12">
        <v>0.220812182741117</v>
      </c>
      <c r="W12">
        <v>0.140862944162437</v>
      </c>
      <c r="X12">
        <v>0.16497461928934001</v>
      </c>
      <c r="Y12">
        <v>5.9644670050761399E-2</v>
      </c>
      <c r="Z12">
        <v>0.102791878172589</v>
      </c>
      <c r="AA12">
        <v>245</v>
      </c>
      <c r="AB12">
        <v>411</v>
      </c>
      <c r="AC12">
        <v>541</v>
      </c>
      <c r="AD12">
        <v>1193</v>
      </c>
      <c r="AE12">
        <v>766</v>
      </c>
      <c r="AF12">
        <v>3420</v>
      </c>
      <c r="AG12">
        <v>1.3961783439490401</v>
      </c>
      <c r="AH12">
        <v>8.3451776649746208</v>
      </c>
      <c r="AI12">
        <v>788</v>
      </c>
      <c r="AJ12">
        <v>16.730360934182599</v>
      </c>
      <c r="AK12">
        <v>1622</v>
      </c>
      <c r="AL12">
        <v>1622</v>
      </c>
      <c r="AM12">
        <v>1519</v>
      </c>
      <c r="AN12">
        <v>0.93700000000000006</v>
      </c>
      <c r="AO12">
        <v>31</v>
      </c>
      <c r="AP12">
        <v>13.078238733542801</v>
      </c>
    </row>
    <row r="13" spans="1:42" x14ac:dyDescent="0.35">
      <c r="A13" s="1">
        <v>45413</v>
      </c>
      <c r="B13" t="s">
        <v>4</v>
      </c>
      <c r="C13">
        <v>1716</v>
      </c>
      <c r="D13">
        <v>1507</v>
      </c>
      <c r="E13">
        <v>0.81293706293706303</v>
      </c>
      <c r="F13">
        <v>0.187062937062937</v>
      </c>
      <c r="G13">
        <v>1395</v>
      </c>
      <c r="H13">
        <v>136</v>
      </c>
      <c r="I13">
        <v>76</v>
      </c>
      <c r="J13">
        <v>44</v>
      </c>
      <c r="K13">
        <v>32</v>
      </c>
      <c r="L13">
        <v>19</v>
      </c>
      <c r="M13">
        <v>14</v>
      </c>
      <c r="N13">
        <v>0.81293706293706303</v>
      </c>
      <c r="O13">
        <v>7.9254079254079193E-2</v>
      </c>
      <c r="P13">
        <v>4.4289044289044302E-2</v>
      </c>
      <c r="Q13">
        <v>2.5641025641025599E-2</v>
      </c>
      <c r="R13">
        <v>1.8648018648018599E-2</v>
      </c>
      <c r="S13">
        <v>1.10722610722611E-2</v>
      </c>
      <c r="T13">
        <v>8.1585081585081598E-3</v>
      </c>
      <c r="U13">
        <v>0.42367601246105902</v>
      </c>
      <c r="V13">
        <v>0.23676012461059201</v>
      </c>
      <c r="W13">
        <v>0.137071651090343</v>
      </c>
      <c r="X13">
        <v>9.9688473520249204E-2</v>
      </c>
      <c r="Y13">
        <v>5.9190031152648002E-2</v>
      </c>
      <c r="Z13">
        <v>4.3613707165108997E-2</v>
      </c>
      <c r="AA13">
        <v>136</v>
      </c>
      <c r="AB13">
        <v>176</v>
      </c>
      <c r="AC13">
        <v>211</v>
      </c>
      <c r="AD13">
        <v>259</v>
      </c>
      <c r="AE13">
        <v>319</v>
      </c>
      <c r="AF13">
        <v>406</v>
      </c>
      <c r="AG13">
        <v>0.87820512820512797</v>
      </c>
      <c r="AH13">
        <v>4.6947040498442396</v>
      </c>
      <c r="AI13">
        <v>321</v>
      </c>
      <c r="AJ13">
        <v>18.7062937062937</v>
      </c>
      <c r="AK13">
        <v>403</v>
      </c>
      <c r="AL13">
        <v>386</v>
      </c>
      <c r="AM13">
        <v>387</v>
      </c>
      <c r="AN13">
        <v>0.96</v>
      </c>
      <c r="AO13">
        <v>31</v>
      </c>
      <c r="AP13">
        <v>12.5940163797426</v>
      </c>
    </row>
    <row r="14" spans="1:42" x14ac:dyDescent="0.35">
      <c r="A14" s="1">
        <v>45413</v>
      </c>
      <c r="B14" t="s">
        <v>3</v>
      </c>
      <c r="C14">
        <v>2017</v>
      </c>
      <c r="D14">
        <v>1520</v>
      </c>
      <c r="E14">
        <v>0.83688646504709996</v>
      </c>
      <c r="F14">
        <v>0.16311353495290001</v>
      </c>
      <c r="G14">
        <v>1688</v>
      </c>
      <c r="H14">
        <v>128</v>
      </c>
      <c r="I14">
        <v>93</v>
      </c>
      <c r="J14">
        <v>40</v>
      </c>
      <c r="K14">
        <v>52</v>
      </c>
      <c r="L14">
        <v>5</v>
      </c>
      <c r="M14">
        <v>11</v>
      </c>
      <c r="N14">
        <v>0.83688646504709996</v>
      </c>
      <c r="O14">
        <v>6.3460585027268201E-2</v>
      </c>
      <c r="P14">
        <v>4.6108081308874602E-2</v>
      </c>
      <c r="Q14">
        <v>1.9831432821021299E-2</v>
      </c>
      <c r="R14">
        <v>2.5780862667327702E-2</v>
      </c>
      <c r="S14">
        <v>2.4789291026276598E-3</v>
      </c>
      <c r="T14">
        <v>5.4536440257808598E-3</v>
      </c>
      <c r="U14">
        <v>0.38905775075987797</v>
      </c>
      <c r="V14">
        <v>0.28267477203647401</v>
      </c>
      <c r="W14">
        <v>0.121580547112462</v>
      </c>
      <c r="X14">
        <v>0.15805471124620099</v>
      </c>
      <c r="Y14">
        <v>1.51975683890578E-2</v>
      </c>
      <c r="Z14">
        <v>3.3434650455927001E-2</v>
      </c>
      <c r="AA14">
        <v>128</v>
      </c>
      <c r="AB14">
        <v>228</v>
      </c>
      <c r="AC14">
        <v>203</v>
      </c>
      <c r="AD14">
        <v>476</v>
      </c>
      <c r="AE14">
        <v>84</v>
      </c>
      <c r="AF14">
        <v>401</v>
      </c>
      <c r="AG14">
        <v>0.75359444719880997</v>
      </c>
      <c r="AH14">
        <v>4.62006079027356</v>
      </c>
      <c r="AI14">
        <v>329</v>
      </c>
      <c r="AJ14">
        <v>16.31135349529</v>
      </c>
      <c r="AK14">
        <v>467</v>
      </c>
      <c r="AL14">
        <v>452</v>
      </c>
      <c r="AM14">
        <v>435</v>
      </c>
      <c r="AN14">
        <v>0.93</v>
      </c>
      <c r="AO14">
        <v>31</v>
      </c>
      <c r="AP14">
        <v>10.847844704539</v>
      </c>
    </row>
    <row r="15" spans="1:42" x14ac:dyDescent="0.35">
      <c r="A15" s="1">
        <v>45413</v>
      </c>
      <c r="B15" t="s">
        <v>0</v>
      </c>
      <c r="C15">
        <v>0</v>
      </c>
      <c r="D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AI15">
        <v>0</v>
      </c>
      <c r="AJ15" t="e">
        <v>#NUM!</v>
      </c>
      <c r="AK15">
        <v>535</v>
      </c>
      <c r="AL15">
        <v>488</v>
      </c>
      <c r="AM15">
        <v>484</v>
      </c>
      <c r="AN15">
        <v>0.90400000000000003</v>
      </c>
      <c r="AO15">
        <v>31</v>
      </c>
      <c r="AP15">
        <v>0</v>
      </c>
    </row>
    <row r="16" spans="1:42" x14ac:dyDescent="0.35">
      <c r="A16" s="1">
        <v>45444</v>
      </c>
      <c r="B16" t="s">
        <v>1</v>
      </c>
      <c r="C16">
        <v>1207</v>
      </c>
      <c r="D16">
        <v>1346</v>
      </c>
      <c r="E16">
        <v>0.81441590720795398</v>
      </c>
      <c r="F16">
        <v>0.18558409279204599</v>
      </c>
      <c r="G16">
        <v>983</v>
      </c>
      <c r="H16">
        <v>66</v>
      </c>
      <c r="I16">
        <v>46</v>
      </c>
      <c r="J16">
        <v>36</v>
      </c>
      <c r="K16">
        <v>49</v>
      </c>
      <c r="L16">
        <v>20</v>
      </c>
      <c r="M16">
        <v>7</v>
      </c>
      <c r="N16">
        <v>0.81441590720795398</v>
      </c>
      <c r="O16">
        <v>5.4681027340513701E-2</v>
      </c>
      <c r="P16">
        <v>3.8111019055509503E-2</v>
      </c>
      <c r="Q16">
        <v>2.9826014913007501E-2</v>
      </c>
      <c r="R16">
        <v>4.0596520298260101E-2</v>
      </c>
      <c r="S16">
        <v>1.6570008285004101E-2</v>
      </c>
      <c r="T16">
        <v>5.7995028997514502E-3</v>
      </c>
      <c r="U16">
        <v>0.29464285714285698</v>
      </c>
      <c r="V16">
        <v>0.20535714285714299</v>
      </c>
      <c r="W16">
        <v>0.160714285714286</v>
      </c>
      <c r="X16">
        <v>0.21875</v>
      </c>
      <c r="Y16">
        <v>8.9285714285714302E-2</v>
      </c>
      <c r="Z16">
        <v>3.125E-2</v>
      </c>
      <c r="AA16">
        <v>66</v>
      </c>
      <c r="AB16">
        <v>108</v>
      </c>
      <c r="AC16">
        <v>181</v>
      </c>
      <c r="AD16">
        <v>446</v>
      </c>
      <c r="AE16">
        <v>322</v>
      </c>
      <c r="AF16">
        <v>223</v>
      </c>
      <c r="AG16">
        <v>1.1151615575807801</v>
      </c>
      <c r="AH16">
        <v>6.0089285714285703</v>
      </c>
      <c r="AI16">
        <v>224</v>
      </c>
      <c r="AJ16">
        <v>18.5584092792046</v>
      </c>
      <c r="AK16">
        <v>354</v>
      </c>
      <c r="AL16">
        <v>339</v>
      </c>
      <c r="AM16">
        <v>343</v>
      </c>
      <c r="AN16">
        <v>0.96799999999999997</v>
      </c>
      <c r="AO16">
        <v>30</v>
      </c>
      <c r="AP16">
        <v>13.235004916420801</v>
      </c>
    </row>
    <row r="17" spans="1:42" x14ac:dyDescent="0.35">
      <c r="A17" s="1">
        <v>45444</v>
      </c>
      <c r="B17" t="s">
        <v>5</v>
      </c>
      <c r="C17">
        <v>1387</v>
      </c>
      <c r="D17">
        <v>2983</v>
      </c>
      <c r="E17">
        <v>0.62941600576784396</v>
      </c>
      <c r="F17">
        <v>0.37058399423215599</v>
      </c>
      <c r="G17">
        <v>873</v>
      </c>
      <c r="H17">
        <v>130</v>
      </c>
      <c r="I17">
        <v>145</v>
      </c>
      <c r="J17">
        <v>119</v>
      </c>
      <c r="K17">
        <v>72</v>
      </c>
      <c r="L17">
        <v>25</v>
      </c>
      <c r="M17">
        <v>23</v>
      </c>
      <c r="N17">
        <v>0.62941600576784396</v>
      </c>
      <c r="O17">
        <v>9.3727469358327306E-2</v>
      </c>
      <c r="P17">
        <v>0.10454217736121101</v>
      </c>
      <c r="Q17">
        <v>8.5796683489545805E-2</v>
      </c>
      <c r="R17">
        <v>5.1910598413842803E-2</v>
      </c>
      <c r="S17">
        <v>1.80245133381399E-2</v>
      </c>
      <c r="T17">
        <v>1.6582552271088701E-2</v>
      </c>
      <c r="U17">
        <v>0.25291828793774301</v>
      </c>
      <c r="V17">
        <v>0.28210116731517498</v>
      </c>
      <c r="W17">
        <v>0.231517509727626</v>
      </c>
      <c r="X17">
        <v>0.14007782101167299</v>
      </c>
      <c r="Y17">
        <v>4.8638132295719803E-2</v>
      </c>
      <c r="Z17">
        <v>4.4747081712062299E-2</v>
      </c>
      <c r="AA17">
        <v>130</v>
      </c>
      <c r="AB17">
        <v>361</v>
      </c>
      <c r="AC17">
        <v>586</v>
      </c>
      <c r="AD17">
        <v>655</v>
      </c>
      <c r="AE17">
        <v>412</v>
      </c>
      <c r="AF17">
        <v>839</v>
      </c>
      <c r="AG17">
        <v>2.1506849315068499</v>
      </c>
      <c r="AH17">
        <v>5.8035019455252899</v>
      </c>
      <c r="AI17">
        <v>514</v>
      </c>
      <c r="AJ17">
        <v>37.058399423215597</v>
      </c>
      <c r="AK17">
        <v>381</v>
      </c>
      <c r="AL17">
        <v>381</v>
      </c>
      <c r="AM17">
        <v>377</v>
      </c>
      <c r="AN17">
        <v>0.99</v>
      </c>
      <c r="AO17">
        <v>30</v>
      </c>
      <c r="AP17">
        <v>26.0979877515311</v>
      </c>
    </row>
    <row r="18" spans="1:42" x14ac:dyDescent="0.35">
      <c r="A18" s="1">
        <v>45444</v>
      </c>
      <c r="B18" t="s">
        <v>6</v>
      </c>
      <c r="C18">
        <v>3459</v>
      </c>
      <c r="D18">
        <v>3965</v>
      </c>
      <c r="E18">
        <v>0.89939288811795304</v>
      </c>
      <c r="F18">
        <v>0.100607111882047</v>
      </c>
      <c r="G18">
        <v>3111</v>
      </c>
      <c r="H18">
        <v>51</v>
      </c>
      <c r="I18">
        <v>52</v>
      </c>
      <c r="J18">
        <v>62</v>
      </c>
      <c r="K18">
        <v>84</v>
      </c>
      <c r="L18">
        <v>46</v>
      </c>
      <c r="M18">
        <v>53</v>
      </c>
      <c r="N18">
        <v>0.89939288811795304</v>
      </c>
      <c r="O18">
        <v>1.4744145706851701E-2</v>
      </c>
      <c r="P18">
        <v>1.5033246603064499E-2</v>
      </c>
      <c r="Q18">
        <v>1.7924255565192299E-2</v>
      </c>
      <c r="R18">
        <v>2.4284475281873399E-2</v>
      </c>
      <c r="S18">
        <v>1.32986412257878E-2</v>
      </c>
      <c r="T18">
        <v>1.5322347499277199E-2</v>
      </c>
      <c r="U18">
        <v>0.14655172413793099</v>
      </c>
      <c r="V18">
        <v>0.14942528735632199</v>
      </c>
      <c r="W18">
        <v>0.17816091954023</v>
      </c>
      <c r="X18">
        <v>0.24137931034482801</v>
      </c>
      <c r="Y18">
        <v>0.13218390804597699</v>
      </c>
      <c r="Z18">
        <v>0.15229885057471301</v>
      </c>
      <c r="AA18">
        <v>51</v>
      </c>
      <c r="AB18">
        <v>123</v>
      </c>
      <c r="AC18">
        <v>307</v>
      </c>
      <c r="AD18">
        <v>813</v>
      </c>
      <c r="AE18">
        <v>743</v>
      </c>
      <c r="AF18">
        <v>1928</v>
      </c>
      <c r="AG18">
        <v>1.1462850534836699</v>
      </c>
      <c r="AH18">
        <v>11.393678160919499</v>
      </c>
      <c r="AI18">
        <v>348</v>
      </c>
      <c r="AJ18">
        <v>10.060711188204699</v>
      </c>
      <c r="AK18">
        <v>869</v>
      </c>
      <c r="AL18">
        <v>809</v>
      </c>
      <c r="AM18">
        <v>781</v>
      </c>
      <c r="AN18">
        <v>0.89900000000000002</v>
      </c>
      <c r="AO18">
        <v>30</v>
      </c>
      <c r="AP18">
        <v>16.3370416151628</v>
      </c>
    </row>
    <row r="19" spans="1:42" x14ac:dyDescent="0.35">
      <c r="A19" s="1">
        <v>45444</v>
      </c>
      <c r="B19" t="s">
        <v>2</v>
      </c>
      <c r="C19">
        <v>4448</v>
      </c>
      <c r="D19">
        <v>7046</v>
      </c>
      <c r="E19">
        <v>0.87027877697841705</v>
      </c>
      <c r="F19">
        <v>0.12972122302158301</v>
      </c>
      <c r="G19">
        <v>3871</v>
      </c>
      <c r="H19">
        <v>129</v>
      </c>
      <c r="I19">
        <v>105</v>
      </c>
      <c r="J19">
        <v>83</v>
      </c>
      <c r="K19">
        <v>125</v>
      </c>
      <c r="L19">
        <v>45</v>
      </c>
      <c r="M19">
        <v>90</v>
      </c>
      <c r="N19">
        <v>0.87027877697841705</v>
      </c>
      <c r="O19">
        <v>2.90017985611511E-2</v>
      </c>
      <c r="P19">
        <v>2.3606115107913699E-2</v>
      </c>
      <c r="Q19">
        <v>1.8660071942446E-2</v>
      </c>
      <c r="R19">
        <v>2.8102517985611499E-2</v>
      </c>
      <c r="S19">
        <v>1.01169064748201E-2</v>
      </c>
      <c r="T19">
        <v>2.0233812949640301E-2</v>
      </c>
      <c r="U19">
        <v>0.223570190641248</v>
      </c>
      <c r="V19">
        <v>0.181975736568458</v>
      </c>
      <c r="W19">
        <v>0.143847487001733</v>
      </c>
      <c r="X19">
        <v>0.21663778162911601</v>
      </c>
      <c r="Y19">
        <v>7.7989601386481797E-2</v>
      </c>
      <c r="Z19">
        <v>0.15597920277296401</v>
      </c>
      <c r="AA19">
        <v>129</v>
      </c>
      <c r="AB19">
        <v>257</v>
      </c>
      <c r="AC19">
        <v>418</v>
      </c>
      <c r="AD19">
        <v>1159</v>
      </c>
      <c r="AE19">
        <v>742</v>
      </c>
      <c r="AF19">
        <v>4341</v>
      </c>
      <c r="AG19">
        <v>1.58408273381295</v>
      </c>
      <c r="AH19">
        <v>12.21143847487</v>
      </c>
      <c r="AI19">
        <v>577</v>
      </c>
      <c r="AJ19">
        <v>12.972122302158301</v>
      </c>
      <c r="AK19">
        <v>1612</v>
      </c>
      <c r="AL19">
        <v>1612</v>
      </c>
      <c r="AM19">
        <v>1520</v>
      </c>
      <c r="AN19">
        <v>0.94299999999999995</v>
      </c>
      <c r="AO19">
        <v>30</v>
      </c>
      <c r="AP19">
        <v>14.569892473118299</v>
      </c>
    </row>
    <row r="20" spans="1:42" x14ac:dyDescent="0.35">
      <c r="A20" s="1">
        <v>45444</v>
      </c>
      <c r="B20" t="s">
        <v>4</v>
      </c>
      <c r="C20">
        <v>1632</v>
      </c>
      <c r="D20">
        <v>1200</v>
      </c>
      <c r="E20">
        <v>0.82169117647058798</v>
      </c>
      <c r="F20">
        <v>0.17830882352941199</v>
      </c>
      <c r="G20">
        <v>1341</v>
      </c>
      <c r="H20">
        <v>112</v>
      </c>
      <c r="I20">
        <v>82</v>
      </c>
      <c r="J20">
        <v>44</v>
      </c>
      <c r="K20">
        <v>38</v>
      </c>
      <c r="L20">
        <v>10</v>
      </c>
      <c r="M20">
        <v>5</v>
      </c>
      <c r="N20">
        <v>0.82169117647058798</v>
      </c>
      <c r="O20">
        <v>6.8627450980392204E-2</v>
      </c>
      <c r="P20">
        <v>5.0245098039215702E-2</v>
      </c>
      <c r="Q20">
        <v>2.6960784313725498E-2</v>
      </c>
      <c r="R20">
        <v>2.32843137254902E-2</v>
      </c>
      <c r="S20">
        <v>6.1274509803921602E-3</v>
      </c>
      <c r="T20">
        <v>3.0637254901960801E-3</v>
      </c>
      <c r="U20">
        <v>0.38487972508591101</v>
      </c>
      <c r="V20">
        <v>0.28178694158075601</v>
      </c>
      <c r="W20">
        <v>0.15120274914089299</v>
      </c>
      <c r="X20">
        <v>0.13058419243986299</v>
      </c>
      <c r="Y20">
        <v>3.4364261168384903E-2</v>
      </c>
      <c r="Z20">
        <v>1.71821305841924E-2</v>
      </c>
      <c r="AA20">
        <v>112</v>
      </c>
      <c r="AB20">
        <v>194</v>
      </c>
      <c r="AC20">
        <v>217</v>
      </c>
      <c r="AD20">
        <v>340</v>
      </c>
      <c r="AE20">
        <v>179</v>
      </c>
      <c r="AF20">
        <v>158</v>
      </c>
      <c r="AG20">
        <v>0.73529411764705899</v>
      </c>
      <c r="AH20">
        <v>4.1237113402061896</v>
      </c>
      <c r="AI20">
        <v>291</v>
      </c>
      <c r="AJ20">
        <v>17.830882352941199</v>
      </c>
      <c r="AK20">
        <v>404</v>
      </c>
      <c r="AL20">
        <v>387</v>
      </c>
      <c r="AM20">
        <v>387</v>
      </c>
      <c r="AN20">
        <v>0.95899999999999996</v>
      </c>
      <c r="AO20">
        <v>30</v>
      </c>
      <c r="AP20">
        <v>10.3359173126615</v>
      </c>
    </row>
    <row r="21" spans="1:42" x14ac:dyDescent="0.35">
      <c r="A21" s="1">
        <v>45444</v>
      </c>
      <c r="B21" t="s">
        <v>0</v>
      </c>
      <c r="C21">
        <v>1835</v>
      </c>
      <c r="D21">
        <v>1020</v>
      </c>
      <c r="E21">
        <v>0.88501362397820205</v>
      </c>
      <c r="F21">
        <v>0.114986376021798</v>
      </c>
      <c r="G21">
        <v>1624</v>
      </c>
      <c r="H21">
        <v>50</v>
      </c>
      <c r="I21">
        <v>51</v>
      </c>
      <c r="J21">
        <v>58</v>
      </c>
      <c r="K21">
        <v>40</v>
      </c>
      <c r="L21">
        <v>9</v>
      </c>
      <c r="M21">
        <v>3</v>
      </c>
      <c r="N21">
        <v>0.88501362397820205</v>
      </c>
      <c r="O21">
        <v>2.72479564032698E-2</v>
      </c>
      <c r="P21">
        <v>2.7792915531335199E-2</v>
      </c>
      <c r="Q21">
        <v>3.1607629427792903E-2</v>
      </c>
      <c r="R21">
        <v>2.17983651226158E-2</v>
      </c>
      <c r="S21">
        <v>4.9046321525885598E-3</v>
      </c>
      <c r="T21">
        <v>1.6348773841961899E-3</v>
      </c>
      <c r="U21">
        <v>0.23696682464454999</v>
      </c>
      <c r="V21">
        <v>0.24170616113744101</v>
      </c>
      <c r="W21">
        <v>0.27488151658767801</v>
      </c>
      <c r="X21">
        <v>0.18957345971563999</v>
      </c>
      <c r="Y21">
        <v>4.2654028436019002E-2</v>
      </c>
      <c r="Z21">
        <v>1.4218009478673001E-2</v>
      </c>
      <c r="AA21">
        <v>50</v>
      </c>
      <c r="AB21">
        <v>130</v>
      </c>
      <c r="AC21">
        <v>274</v>
      </c>
      <c r="AD21">
        <v>348</v>
      </c>
      <c r="AE21">
        <v>143</v>
      </c>
      <c r="AF21">
        <v>75</v>
      </c>
      <c r="AG21">
        <v>0.55585831062670299</v>
      </c>
      <c r="AH21">
        <v>4.8341232227488096</v>
      </c>
      <c r="AI21">
        <v>211</v>
      </c>
      <c r="AJ21">
        <v>11.4986376021798</v>
      </c>
      <c r="AK21">
        <v>533</v>
      </c>
      <c r="AL21">
        <v>488</v>
      </c>
      <c r="AM21">
        <v>493</v>
      </c>
      <c r="AN21">
        <v>0.92500000000000004</v>
      </c>
      <c r="AO21">
        <v>30</v>
      </c>
      <c r="AP21">
        <v>6.9672131147540997</v>
      </c>
    </row>
    <row r="22" spans="1:42" x14ac:dyDescent="0.35">
      <c r="A22" s="1">
        <v>45444</v>
      </c>
      <c r="B22" t="s">
        <v>3</v>
      </c>
      <c r="C22">
        <v>1810</v>
      </c>
      <c r="D22">
        <v>1113</v>
      </c>
      <c r="E22">
        <v>0.84972375690607704</v>
      </c>
      <c r="F22">
        <v>0.15027624309392301</v>
      </c>
      <c r="G22">
        <v>1538</v>
      </c>
      <c r="H22">
        <v>114</v>
      </c>
      <c r="I22">
        <v>75</v>
      </c>
      <c r="J22">
        <v>36</v>
      </c>
      <c r="K22">
        <v>32</v>
      </c>
      <c r="L22">
        <v>9</v>
      </c>
      <c r="M22">
        <v>6</v>
      </c>
      <c r="N22">
        <v>0.84972375690607704</v>
      </c>
      <c r="O22">
        <v>6.2983425414364594E-2</v>
      </c>
      <c r="P22">
        <v>4.1436464088397802E-2</v>
      </c>
      <c r="Q22">
        <v>1.98895027624309E-2</v>
      </c>
      <c r="R22">
        <v>1.7679558011049701E-2</v>
      </c>
      <c r="S22">
        <v>4.9723756906077301E-3</v>
      </c>
      <c r="T22">
        <v>3.3149171270718202E-3</v>
      </c>
      <c r="U22">
        <v>0.41911764705882398</v>
      </c>
      <c r="V22">
        <v>0.27573529411764702</v>
      </c>
      <c r="W22">
        <v>0.13235294117647101</v>
      </c>
      <c r="X22">
        <v>0.11764705882352899</v>
      </c>
      <c r="Y22">
        <v>3.3088235294117599E-2</v>
      </c>
      <c r="Z22">
        <v>2.2058823529411801E-2</v>
      </c>
      <c r="AA22">
        <v>114</v>
      </c>
      <c r="AB22">
        <v>178</v>
      </c>
      <c r="AC22">
        <v>170</v>
      </c>
      <c r="AD22">
        <v>287</v>
      </c>
      <c r="AE22">
        <v>153</v>
      </c>
      <c r="AF22">
        <v>211</v>
      </c>
      <c r="AG22">
        <v>0.614917127071823</v>
      </c>
      <c r="AH22">
        <v>4.0919117647058796</v>
      </c>
      <c r="AI22">
        <v>272</v>
      </c>
      <c r="AJ22">
        <v>15.0276243093923</v>
      </c>
      <c r="AK22">
        <v>447</v>
      </c>
      <c r="AL22">
        <v>432</v>
      </c>
      <c r="AM22">
        <v>415</v>
      </c>
      <c r="AN22">
        <v>0.92800000000000005</v>
      </c>
      <c r="AO22">
        <v>30</v>
      </c>
      <c r="AP22">
        <v>8.5879629629629601</v>
      </c>
    </row>
    <row r="23" spans="1:42" x14ac:dyDescent="0.35">
      <c r="A23" s="1">
        <v>45474</v>
      </c>
      <c r="B23" t="s">
        <v>1</v>
      </c>
      <c r="C23">
        <v>1278</v>
      </c>
      <c r="D23">
        <v>1901</v>
      </c>
      <c r="E23">
        <v>0.81064162754303604</v>
      </c>
      <c r="F23">
        <v>0.18935837245696399</v>
      </c>
      <c r="G23">
        <v>1036</v>
      </c>
      <c r="H23">
        <v>43</v>
      </c>
      <c r="I23">
        <v>51</v>
      </c>
      <c r="J23">
        <v>46</v>
      </c>
      <c r="K23">
        <v>57</v>
      </c>
      <c r="L23">
        <v>32</v>
      </c>
      <c r="M23">
        <v>13</v>
      </c>
      <c r="N23">
        <v>0.81064162754303604</v>
      </c>
      <c r="O23">
        <v>3.3646322378716703E-2</v>
      </c>
      <c r="P23">
        <v>3.9906103286384997E-2</v>
      </c>
      <c r="Q23">
        <v>3.5993740219092303E-2</v>
      </c>
      <c r="R23">
        <v>4.46009389671361E-2</v>
      </c>
      <c r="S23">
        <v>2.5039123630672899E-2</v>
      </c>
      <c r="T23">
        <v>1.01721439749609E-2</v>
      </c>
      <c r="U23">
        <v>0.17768595041322299</v>
      </c>
      <c r="V23">
        <v>0.210743801652893</v>
      </c>
      <c r="W23">
        <v>0.19008264462809901</v>
      </c>
      <c r="X23">
        <v>0.23553719008264501</v>
      </c>
      <c r="Y23">
        <v>0.13223140495867799</v>
      </c>
      <c r="Z23">
        <v>5.3719008264462798E-2</v>
      </c>
      <c r="AA23">
        <v>43</v>
      </c>
      <c r="AB23">
        <v>129</v>
      </c>
      <c r="AC23">
        <v>225</v>
      </c>
      <c r="AD23">
        <v>515</v>
      </c>
      <c r="AE23">
        <v>508</v>
      </c>
      <c r="AF23">
        <v>481</v>
      </c>
      <c r="AG23">
        <v>1.48748043818466</v>
      </c>
      <c r="AH23">
        <v>7.8553719008264498</v>
      </c>
      <c r="AI23">
        <v>242</v>
      </c>
      <c r="AJ23">
        <v>18.935837245696401</v>
      </c>
      <c r="AK23">
        <v>350</v>
      </c>
      <c r="AL23">
        <v>335</v>
      </c>
      <c r="AM23">
        <v>331</v>
      </c>
      <c r="AN23">
        <v>0.94599999999999995</v>
      </c>
      <c r="AO23">
        <v>31</v>
      </c>
      <c r="AP23">
        <v>18.305247953779499</v>
      </c>
    </row>
    <row r="24" spans="1:42" x14ac:dyDescent="0.35">
      <c r="A24" s="1">
        <v>45474</v>
      </c>
      <c r="B24" t="s">
        <v>5</v>
      </c>
      <c r="C24">
        <v>1442</v>
      </c>
      <c r="D24">
        <v>3065</v>
      </c>
      <c r="E24">
        <v>0.615811373092926</v>
      </c>
      <c r="F24">
        <v>0.38418862690707301</v>
      </c>
      <c r="G24">
        <v>888</v>
      </c>
      <c r="H24">
        <v>148</v>
      </c>
      <c r="I24">
        <v>157</v>
      </c>
      <c r="J24">
        <v>111</v>
      </c>
      <c r="K24">
        <v>82</v>
      </c>
      <c r="L24">
        <v>28</v>
      </c>
      <c r="M24">
        <v>28</v>
      </c>
      <c r="N24">
        <v>0.615811373092926</v>
      </c>
      <c r="O24">
        <v>0.10263522884882099</v>
      </c>
      <c r="P24">
        <v>0.10887656033287101</v>
      </c>
      <c r="Q24">
        <v>7.6976421636615805E-2</v>
      </c>
      <c r="R24">
        <v>5.6865464632454898E-2</v>
      </c>
      <c r="S24">
        <v>1.94174757281553E-2</v>
      </c>
      <c r="T24">
        <v>1.94174757281553E-2</v>
      </c>
      <c r="U24">
        <v>0.26714801444043301</v>
      </c>
      <c r="V24">
        <v>0.28339350180505402</v>
      </c>
      <c r="W24">
        <v>0.20036101083032501</v>
      </c>
      <c r="X24">
        <v>0.14801444043321299</v>
      </c>
      <c r="Y24">
        <v>5.0541516245487403E-2</v>
      </c>
      <c r="Z24">
        <v>5.0541516245487403E-2</v>
      </c>
      <c r="AA24">
        <v>148</v>
      </c>
      <c r="AB24">
        <v>382</v>
      </c>
      <c r="AC24">
        <v>537</v>
      </c>
      <c r="AD24">
        <v>734</v>
      </c>
      <c r="AE24">
        <v>455</v>
      </c>
      <c r="AF24">
        <v>809</v>
      </c>
      <c r="AG24">
        <v>2.1255201109569999</v>
      </c>
      <c r="AH24">
        <v>5.5324909747292397</v>
      </c>
      <c r="AI24">
        <v>554</v>
      </c>
      <c r="AJ24">
        <v>38.4188626907073</v>
      </c>
      <c r="AK24">
        <v>361</v>
      </c>
      <c r="AL24">
        <v>361</v>
      </c>
      <c r="AM24">
        <v>353</v>
      </c>
      <c r="AN24">
        <v>0.98</v>
      </c>
      <c r="AO24">
        <v>31</v>
      </c>
      <c r="AP24">
        <v>27.388079706907298</v>
      </c>
    </row>
    <row r="25" spans="1:42" x14ac:dyDescent="0.35">
      <c r="A25" s="1">
        <v>45474</v>
      </c>
      <c r="B25" t="s">
        <v>6</v>
      </c>
      <c r="C25">
        <v>3798</v>
      </c>
      <c r="D25">
        <v>4518</v>
      </c>
      <c r="E25">
        <v>0.90047393364928896</v>
      </c>
      <c r="F25">
        <v>9.9526066350710901E-2</v>
      </c>
      <c r="G25">
        <v>3420</v>
      </c>
      <c r="H25">
        <v>56</v>
      </c>
      <c r="I25">
        <v>58</v>
      </c>
      <c r="J25">
        <v>55</v>
      </c>
      <c r="K25">
        <v>103</v>
      </c>
      <c r="L25">
        <v>43</v>
      </c>
      <c r="M25">
        <v>63</v>
      </c>
      <c r="N25">
        <v>0.90047393364928896</v>
      </c>
      <c r="O25">
        <v>1.47446024223275E-2</v>
      </c>
      <c r="P25">
        <v>1.52711953659821E-2</v>
      </c>
      <c r="Q25">
        <v>1.44813059505003E-2</v>
      </c>
      <c r="R25">
        <v>2.71195365982096E-2</v>
      </c>
      <c r="S25">
        <v>1.1321748288572899E-2</v>
      </c>
      <c r="T25">
        <v>1.6587677725118499E-2</v>
      </c>
      <c r="U25">
        <v>0.148148148148148</v>
      </c>
      <c r="V25">
        <v>0.15343915343915299</v>
      </c>
      <c r="W25">
        <v>0.14550264550264499</v>
      </c>
      <c r="X25">
        <v>0.272486772486772</v>
      </c>
      <c r="Y25">
        <v>0.113756613756614</v>
      </c>
      <c r="Z25">
        <v>0.16666666666666699</v>
      </c>
      <c r="AA25">
        <v>56</v>
      </c>
      <c r="AB25">
        <v>144</v>
      </c>
      <c r="AC25">
        <v>280</v>
      </c>
      <c r="AD25">
        <v>946</v>
      </c>
      <c r="AE25">
        <v>705</v>
      </c>
      <c r="AF25">
        <v>2387</v>
      </c>
      <c r="AG25">
        <v>1.18957345971564</v>
      </c>
      <c r="AH25">
        <v>11.952380952381001</v>
      </c>
      <c r="AI25">
        <v>378</v>
      </c>
      <c r="AJ25">
        <v>9.9526066350710902</v>
      </c>
      <c r="AK25">
        <v>862</v>
      </c>
      <c r="AL25">
        <v>802</v>
      </c>
      <c r="AM25">
        <v>760</v>
      </c>
      <c r="AN25">
        <v>0.88200000000000001</v>
      </c>
      <c r="AO25">
        <v>31</v>
      </c>
      <c r="AP25">
        <v>18.172311157589899</v>
      </c>
    </row>
    <row r="26" spans="1:42" x14ac:dyDescent="0.35">
      <c r="A26" s="1">
        <v>45474</v>
      </c>
      <c r="B26" t="s">
        <v>2</v>
      </c>
      <c r="C26">
        <v>4663</v>
      </c>
      <c r="D26">
        <v>6809</v>
      </c>
      <c r="E26">
        <v>0.855028951318893</v>
      </c>
      <c r="F26">
        <v>0.144971048681107</v>
      </c>
      <c r="G26">
        <v>3987</v>
      </c>
      <c r="H26">
        <v>200</v>
      </c>
      <c r="I26">
        <v>137</v>
      </c>
      <c r="J26">
        <v>106</v>
      </c>
      <c r="K26">
        <v>116</v>
      </c>
      <c r="L26">
        <v>37</v>
      </c>
      <c r="M26">
        <v>80</v>
      </c>
      <c r="N26">
        <v>0.855028951318893</v>
      </c>
      <c r="O26">
        <v>4.28908428050611E-2</v>
      </c>
      <c r="P26">
        <v>2.93802273214669E-2</v>
      </c>
      <c r="Q26">
        <v>2.27321466866824E-2</v>
      </c>
      <c r="R26">
        <v>2.48766888269354E-2</v>
      </c>
      <c r="S26">
        <v>7.9348059189363104E-3</v>
      </c>
      <c r="T26">
        <v>1.7156337122024402E-2</v>
      </c>
      <c r="U26">
        <v>0.29585798816567999</v>
      </c>
      <c r="V26">
        <v>0.20266272189349099</v>
      </c>
      <c r="W26">
        <v>0.15680473372781101</v>
      </c>
      <c r="X26">
        <v>0.171597633136095</v>
      </c>
      <c r="Y26">
        <v>5.4733727810650903E-2</v>
      </c>
      <c r="Z26">
        <v>0.118343195266272</v>
      </c>
      <c r="AA26">
        <v>200</v>
      </c>
      <c r="AB26">
        <v>327</v>
      </c>
      <c r="AC26">
        <v>505</v>
      </c>
      <c r="AD26">
        <v>1074</v>
      </c>
      <c r="AE26">
        <v>618</v>
      </c>
      <c r="AF26">
        <v>4085</v>
      </c>
      <c r="AG26">
        <v>1.46021874329831</v>
      </c>
      <c r="AH26">
        <v>10.0724852071006</v>
      </c>
      <c r="AI26">
        <v>676</v>
      </c>
      <c r="AJ26">
        <v>14.4971048681107</v>
      </c>
      <c r="AK26">
        <v>1607</v>
      </c>
      <c r="AL26">
        <v>1607</v>
      </c>
      <c r="AM26">
        <v>1499</v>
      </c>
      <c r="AN26">
        <v>0.93300000000000005</v>
      </c>
      <c r="AO26">
        <v>31</v>
      </c>
      <c r="AP26">
        <v>13.668024971395299</v>
      </c>
    </row>
    <row r="27" spans="1:42" x14ac:dyDescent="0.35">
      <c r="A27" s="1">
        <v>45474</v>
      </c>
      <c r="B27" t="s">
        <v>4</v>
      </c>
      <c r="C27">
        <v>1730</v>
      </c>
      <c r="D27">
        <v>1395</v>
      </c>
      <c r="E27">
        <v>0.80693641618497103</v>
      </c>
      <c r="F27">
        <v>0.193063583815029</v>
      </c>
      <c r="G27">
        <v>1396</v>
      </c>
      <c r="H27">
        <v>147</v>
      </c>
      <c r="I27">
        <v>89</v>
      </c>
      <c r="J27">
        <v>40</v>
      </c>
      <c r="K27">
        <v>34</v>
      </c>
      <c r="L27">
        <v>13</v>
      </c>
      <c r="M27">
        <v>11</v>
      </c>
      <c r="N27">
        <v>0.80693641618497103</v>
      </c>
      <c r="O27">
        <v>8.4971098265895995E-2</v>
      </c>
      <c r="P27">
        <v>5.14450867052023E-2</v>
      </c>
      <c r="Q27">
        <v>2.3121387283237E-2</v>
      </c>
      <c r="R27">
        <v>1.9653179190751401E-2</v>
      </c>
      <c r="S27">
        <v>7.5144508670520202E-3</v>
      </c>
      <c r="T27">
        <v>6.3583815028901702E-3</v>
      </c>
      <c r="U27">
        <v>0.440119760479042</v>
      </c>
      <c r="V27">
        <v>0.26646706586826302</v>
      </c>
      <c r="W27">
        <v>0.119760479041916</v>
      </c>
      <c r="X27">
        <v>0.101796407185629</v>
      </c>
      <c r="Y27">
        <v>3.8922155688622798E-2</v>
      </c>
      <c r="Z27">
        <v>3.29341317365269E-2</v>
      </c>
      <c r="AA27">
        <v>147</v>
      </c>
      <c r="AB27">
        <v>204</v>
      </c>
      <c r="AC27">
        <v>191</v>
      </c>
      <c r="AD27">
        <v>303</v>
      </c>
      <c r="AE27">
        <v>218</v>
      </c>
      <c r="AF27">
        <v>332</v>
      </c>
      <c r="AG27">
        <v>0.80635838150288996</v>
      </c>
      <c r="AH27">
        <v>4.1766467065868298</v>
      </c>
      <c r="AI27">
        <v>334</v>
      </c>
      <c r="AJ27">
        <v>19.3063583815029</v>
      </c>
      <c r="AK27">
        <v>408</v>
      </c>
      <c r="AL27">
        <v>391</v>
      </c>
      <c r="AM27">
        <v>376</v>
      </c>
      <c r="AN27">
        <v>0.92</v>
      </c>
      <c r="AO27">
        <v>31</v>
      </c>
      <c r="AP27">
        <v>11.508951406649601</v>
      </c>
    </row>
    <row r="28" spans="1:42" x14ac:dyDescent="0.35">
      <c r="A28" s="1">
        <v>45474</v>
      </c>
      <c r="B28" t="s">
        <v>0</v>
      </c>
      <c r="C28">
        <v>2078</v>
      </c>
      <c r="D28">
        <v>1334</v>
      </c>
      <c r="E28">
        <v>0.88835418671799804</v>
      </c>
      <c r="F28">
        <v>0.111645813282002</v>
      </c>
      <c r="G28">
        <v>1846</v>
      </c>
      <c r="H28">
        <v>39</v>
      </c>
      <c r="I28">
        <v>63</v>
      </c>
      <c r="J28">
        <v>63</v>
      </c>
      <c r="K28">
        <v>47</v>
      </c>
      <c r="L28">
        <v>11</v>
      </c>
      <c r="M28">
        <v>9</v>
      </c>
      <c r="N28">
        <v>0.88835418671799804</v>
      </c>
      <c r="O28">
        <v>1.87680461982676E-2</v>
      </c>
      <c r="P28">
        <v>3.0317613089509102E-2</v>
      </c>
      <c r="Q28">
        <v>3.0317613089509102E-2</v>
      </c>
      <c r="R28">
        <v>2.2617901828681401E-2</v>
      </c>
      <c r="S28">
        <v>5.2935514918190599E-3</v>
      </c>
      <c r="T28">
        <v>4.3310875842155899E-3</v>
      </c>
      <c r="U28">
        <v>0.16810344827586199</v>
      </c>
      <c r="V28">
        <v>0.27155172413793099</v>
      </c>
      <c r="W28">
        <v>0.27155172413793099</v>
      </c>
      <c r="X28">
        <v>0.20258620689655199</v>
      </c>
      <c r="Y28">
        <v>4.7413793103448301E-2</v>
      </c>
      <c r="Z28">
        <v>3.8793103448275898E-2</v>
      </c>
      <c r="AA28">
        <v>39</v>
      </c>
      <c r="AB28">
        <v>158</v>
      </c>
      <c r="AC28">
        <v>301</v>
      </c>
      <c r="AD28">
        <v>420</v>
      </c>
      <c r="AE28">
        <v>185</v>
      </c>
      <c r="AF28">
        <v>231</v>
      </c>
      <c r="AG28">
        <v>0.64196342637151105</v>
      </c>
      <c r="AH28">
        <v>5.75</v>
      </c>
      <c r="AI28">
        <v>232</v>
      </c>
      <c r="AJ28">
        <v>11.1645813282002</v>
      </c>
      <c r="AK28">
        <v>532</v>
      </c>
      <c r="AL28">
        <v>487</v>
      </c>
      <c r="AM28">
        <v>476</v>
      </c>
      <c r="AN28">
        <v>0.89500000000000002</v>
      </c>
      <c r="AO28">
        <v>31</v>
      </c>
      <c r="AP28">
        <v>8.8361926210505395</v>
      </c>
    </row>
    <row r="29" spans="1:42" x14ac:dyDescent="0.35">
      <c r="A29" s="1">
        <v>45474</v>
      </c>
      <c r="B29" t="s">
        <v>3</v>
      </c>
      <c r="C29">
        <v>1990</v>
      </c>
      <c r="D29">
        <v>2209</v>
      </c>
      <c r="E29">
        <v>0.80150753768844196</v>
      </c>
      <c r="F29">
        <v>0.19849246231155801</v>
      </c>
      <c r="G29">
        <v>1595</v>
      </c>
      <c r="H29">
        <v>132</v>
      </c>
      <c r="I29">
        <v>84</v>
      </c>
      <c r="J29">
        <v>68</v>
      </c>
      <c r="K29">
        <v>72</v>
      </c>
      <c r="L29">
        <v>19</v>
      </c>
      <c r="M29">
        <v>20</v>
      </c>
      <c r="N29">
        <v>0.80150753768844196</v>
      </c>
      <c r="O29">
        <v>6.6331658291457304E-2</v>
      </c>
      <c r="P29">
        <v>4.2211055276381901E-2</v>
      </c>
      <c r="Q29">
        <v>3.4170854271356799E-2</v>
      </c>
      <c r="R29">
        <v>3.6180904522613098E-2</v>
      </c>
      <c r="S29">
        <v>9.5477386934673392E-3</v>
      </c>
      <c r="T29">
        <v>1.00502512562814E-2</v>
      </c>
      <c r="U29">
        <v>0.33417721518987298</v>
      </c>
      <c r="V29">
        <v>0.21265822784810101</v>
      </c>
      <c r="W29">
        <v>0.17215189873417699</v>
      </c>
      <c r="X29">
        <v>0.18227848101265801</v>
      </c>
      <c r="Y29">
        <v>4.8101265822784803E-2</v>
      </c>
      <c r="Z29">
        <v>5.0632911392405097E-2</v>
      </c>
      <c r="AA29">
        <v>132</v>
      </c>
      <c r="AB29">
        <v>201</v>
      </c>
      <c r="AC29">
        <v>352</v>
      </c>
      <c r="AD29">
        <v>647</v>
      </c>
      <c r="AE29">
        <v>309</v>
      </c>
      <c r="AF29">
        <v>568</v>
      </c>
      <c r="AG29">
        <v>1.11005025125628</v>
      </c>
      <c r="AH29">
        <v>5.5924050632911397</v>
      </c>
      <c r="AI29">
        <v>395</v>
      </c>
      <c r="AJ29">
        <v>19.849246231155799</v>
      </c>
      <c r="AK29">
        <v>447</v>
      </c>
      <c r="AL29">
        <v>432</v>
      </c>
      <c r="AM29">
        <v>410</v>
      </c>
      <c r="AN29">
        <v>0.91900000000000004</v>
      </c>
      <c r="AO29">
        <v>31</v>
      </c>
      <c r="AP29">
        <v>16.494922341696501</v>
      </c>
    </row>
    <row r="30" spans="1:42" x14ac:dyDescent="0.35">
      <c r="A30" s="1">
        <v>45505</v>
      </c>
      <c r="B30" t="s">
        <v>1</v>
      </c>
      <c r="C30">
        <v>1241</v>
      </c>
      <c r="D30">
        <v>1659</v>
      </c>
      <c r="E30">
        <v>0.84125705076551205</v>
      </c>
      <c r="F30">
        <v>0.15874294923448801</v>
      </c>
      <c r="G30">
        <v>1044</v>
      </c>
      <c r="H30">
        <v>51</v>
      </c>
      <c r="I30">
        <v>37</v>
      </c>
      <c r="J30">
        <v>29</v>
      </c>
      <c r="K30">
        <v>42</v>
      </c>
      <c r="L30">
        <v>16</v>
      </c>
      <c r="M30">
        <v>22</v>
      </c>
      <c r="N30">
        <v>0.84125705076551205</v>
      </c>
      <c r="O30">
        <v>4.1095890410958902E-2</v>
      </c>
      <c r="P30">
        <v>2.9814665592264301E-2</v>
      </c>
      <c r="Q30">
        <v>2.3368251410153099E-2</v>
      </c>
      <c r="R30">
        <v>3.38436744560838E-2</v>
      </c>
      <c r="S30">
        <v>1.2892828364222401E-2</v>
      </c>
      <c r="T30">
        <v>1.77276390008058E-2</v>
      </c>
      <c r="U30">
        <v>0.25888324873096402</v>
      </c>
      <c r="V30">
        <v>0.18781725888324899</v>
      </c>
      <c r="W30">
        <v>0.147208121827411</v>
      </c>
      <c r="X30">
        <v>0.21319796954314699</v>
      </c>
      <c r="Y30">
        <v>8.1218274111675107E-2</v>
      </c>
      <c r="Z30">
        <v>0.111675126903553</v>
      </c>
      <c r="AA30">
        <v>51</v>
      </c>
      <c r="AB30">
        <v>87</v>
      </c>
      <c r="AC30">
        <v>141</v>
      </c>
      <c r="AD30">
        <v>383</v>
      </c>
      <c r="AE30">
        <v>261</v>
      </c>
      <c r="AF30">
        <v>736</v>
      </c>
      <c r="AG30">
        <v>1.33682514101531</v>
      </c>
      <c r="AH30">
        <v>8.4213197969543092</v>
      </c>
      <c r="AI30">
        <v>197</v>
      </c>
      <c r="AJ30">
        <v>15.874294923448801</v>
      </c>
      <c r="AK30">
        <v>343</v>
      </c>
      <c r="AL30">
        <v>328</v>
      </c>
      <c r="AM30">
        <v>320</v>
      </c>
      <c r="AN30">
        <v>0.93200000000000005</v>
      </c>
      <c r="AO30">
        <v>31</v>
      </c>
      <c r="AP30">
        <v>16.3158929976397</v>
      </c>
    </row>
    <row r="31" spans="1:42" x14ac:dyDescent="0.35">
      <c r="A31" s="1">
        <v>45505</v>
      </c>
      <c r="B31" t="s">
        <v>5</v>
      </c>
      <c r="C31">
        <v>1433</v>
      </c>
      <c r="D31">
        <v>2513</v>
      </c>
      <c r="E31">
        <v>0.64829030006978405</v>
      </c>
      <c r="F31">
        <v>0.351709699930216</v>
      </c>
      <c r="G31">
        <v>929</v>
      </c>
      <c r="H31">
        <v>134</v>
      </c>
      <c r="I31">
        <v>136</v>
      </c>
      <c r="J31">
        <v>113</v>
      </c>
      <c r="K31">
        <v>86</v>
      </c>
      <c r="L31">
        <v>19</v>
      </c>
      <c r="M31">
        <v>16</v>
      </c>
      <c r="N31">
        <v>0.64829030006978405</v>
      </c>
      <c r="O31">
        <v>9.3510118632240097E-2</v>
      </c>
      <c r="P31">
        <v>9.4905792044661597E-2</v>
      </c>
      <c r="Q31">
        <v>7.8855547801814405E-2</v>
      </c>
      <c r="R31">
        <v>6.0013956734124199E-2</v>
      </c>
      <c r="S31">
        <v>1.3258897418004199E-2</v>
      </c>
      <c r="T31">
        <v>1.1165387299371899E-2</v>
      </c>
      <c r="U31">
        <v>0.26587301587301598</v>
      </c>
      <c r="V31">
        <v>0.26984126984126999</v>
      </c>
      <c r="W31">
        <v>0.22420634920634899</v>
      </c>
      <c r="X31">
        <v>0.170634920634921</v>
      </c>
      <c r="Y31">
        <v>3.7698412698412703E-2</v>
      </c>
      <c r="Z31">
        <v>3.1746031746031703E-2</v>
      </c>
      <c r="AA31">
        <v>134</v>
      </c>
      <c r="AB31">
        <v>328</v>
      </c>
      <c r="AC31">
        <v>553</v>
      </c>
      <c r="AD31">
        <v>783</v>
      </c>
      <c r="AE31">
        <v>307</v>
      </c>
      <c r="AF31">
        <v>408</v>
      </c>
      <c r="AG31">
        <v>1.75366364270761</v>
      </c>
      <c r="AH31">
        <v>4.9861111111111098</v>
      </c>
      <c r="AI31">
        <v>504</v>
      </c>
      <c r="AJ31">
        <v>35.1709699930216</v>
      </c>
      <c r="AK31">
        <v>367</v>
      </c>
      <c r="AL31">
        <v>367</v>
      </c>
      <c r="AM31">
        <v>354</v>
      </c>
      <c r="AN31">
        <v>0.96599999999999997</v>
      </c>
      <c r="AO31">
        <v>31</v>
      </c>
      <c r="AP31">
        <v>22.088424013360299</v>
      </c>
    </row>
    <row r="32" spans="1:42" x14ac:dyDescent="0.35">
      <c r="A32" s="1">
        <v>45505</v>
      </c>
      <c r="B32" t="s">
        <v>6</v>
      </c>
      <c r="C32">
        <v>3732</v>
      </c>
      <c r="D32">
        <v>3524</v>
      </c>
      <c r="E32">
        <v>0.90728831725616299</v>
      </c>
      <c r="F32">
        <v>9.2711682743837107E-2</v>
      </c>
      <c r="G32">
        <v>3386</v>
      </c>
      <c r="H32">
        <v>51</v>
      </c>
      <c r="I32">
        <v>66</v>
      </c>
      <c r="J32">
        <v>49</v>
      </c>
      <c r="K32">
        <v>91</v>
      </c>
      <c r="L32">
        <v>43</v>
      </c>
      <c r="M32">
        <v>46</v>
      </c>
      <c r="N32">
        <v>0.90728831725616299</v>
      </c>
      <c r="O32">
        <v>1.36655948553055E-2</v>
      </c>
      <c r="P32">
        <v>1.7684887459807098E-2</v>
      </c>
      <c r="Q32">
        <v>1.3129689174705301E-2</v>
      </c>
      <c r="R32">
        <v>2.4383708467309799E-2</v>
      </c>
      <c r="S32">
        <v>1.1521972132904601E-2</v>
      </c>
      <c r="T32">
        <v>1.23258306538049E-2</v>
      </c>
      <c r="U32">
        <v>0.14739884393063599</v>
      </c>
      <c r="V32">
        <v>0.190751445086705</v>
      </c>
      <c r="W32">
        <v>0.14161849710982699</v>
      </c>
      <c r="X32">
        <v>0.26300578034682098</v>
      </c>
      <c r="Y32">
        <v>0.124277456647399</v>
      </c>
      <c r="Z32">
        <v>0.13294797687861301</v>
      </c>
      <c r="AA32">
        <v>51</v>
      </c>
      <c r="AB32">
        <v>162</v>
      </c>
      <c r="AC32">
        <v>228</v>
      </c>
      <c r="AD32">
        <v>849</v>
      </c>
      <c r="AE32">
        <v>687</v>
      </c>
      <c r="AF32">
        <v>1547</v>
      </c>
      <c r="AG32">
        <v>0.94426580921757797</v>
      </c>
      <c r="AH32">
        <v>10.184971098265899</v>
      </c>
      <c r="AI32">
        <v>346</v>
      </c>
      <c r="AJ32">
        <v>9.2711682743837098</v>
      </c>
      <c r="AK32">
        <v>863</v>
      </c>
      <c r="AL32">
        <v>803</v>
      </c>
      <c r="AM32">
        <v>759</v>
      </c>
      <c r="AN32">
        <v>0.879</v>
      </c>
      <c r="AO32">
        <v>31</v>
      </c>
      <c r="AP32">
        <v>14.156590206082001</v>
      </c>
    </row>
    <row r="33" spans="1:42" x14ac:dyDescent="0.35">
      <c r="A33" s="1">
        <v>45505</v>
      </c>
      <c r="B33" t="s">
        <v>2</v>
      </c>
      <c r="C33">
        <v>4685</v>
      </c>
      <c r="D33">
        <v>7147</v>
      </c>
      <c r="E33">
        <v>0.85101387406616902</v>
      </c>
      <c r="F33">
        <v>0.14898612593383101</v>
      </c>
      <c r="G33">
        <v>3987</v>
      </c>
      <c r="H33">
        <v>239</v>
      </c>
      <c r="I33">
        <v>132</v>
      </c>
      <c r="J33">
        <v>97</v>
      </c>
      <c r="K33">
        <v>121</v>
      </c>
      <c r="L33">
        <v>31</v>
      </c>
      <c r="M33">
        <v>78</v>
      </c>
      <c r="N33">
        <v>0.85101387406616902</v>
      </c>
      <c r="O33">
        <v>5.1013874066168599E-2</v>
      </c>
      <c r="P33">
        <v>2.8175026680896501E-2</v>
      </c>
      <c r="Q33">
        <v>2.07043756670224E-2</v>
      </c>
      <c r="R33">
        <v>2.5827107790821799E-2</v>
      </c>
      <c r="S33">
        <v>6.6168623265741699E-3</v>
      </c>
      <c r="T33">
        <v>1.66488794023479E-2</v>
      </c>
      <c r="U33">
        <v>0.34240687679083098</v>
      </c>
      <c r="V33">
        <v>0.18911174785100299</v>
      </c>
      <c r="W33">
        <v>0.138968481375358</v>
      </c>
      <c r="X33">
        <v>0.173352435530086</v>
      </c>
      <c r="Y33">
        <v>4.44126074498567E-2</v>
      </c>
      <c r="Z33">
        <v>0.111747851002865</v>
      </c>
      <c r="AA33">
        <v>239</v>
      </c>
      <c r="AB33">
        <v>311</v>
      </c>
      <c r="AC33">
        <v>470</v>
      </c>
      <c r="AD33">
        <v>1102</v>
      </c>
      <c r="AE33">
        <v>491</v>
      </c>
      <c r="AF33">
        <v>4534</v>
      </c>
      <c r="AG33">
        <v>1.52550693703308</v>
      </c>
      <c r="AH33">
        <v>10.2392550143266</v>
      </c>
      <c r="AI33">
        <v>698</v>
      </c>
      <c r="AJ33">
        <v>14.898612593383101</v>
      </c>
      <c r="AK33">
        <v>1605</v>
      </c>
      <c r="AL33">
        <v>1605</v>
      </c>
      <c r="AM33">
        <v>1481</v>
      </c>
      <c r="AN33">
        <v>0.92300000000000004</v>
      </c>
      <c r="AO33">
        <v>31</v>
      </c>
      <c r="AP33">
        <v>14.3643854888956</v>
      </c>
    </row>
    <row r="34" spans="1:42" x14ac:dyDescent="0.35">
      <c r="A34" s="1">
        <v>45505</v>
      </c>
      <c r="B34" t="s">
        <v>4</v>
      </c>
      <c r="C34">
        <v>1716</v>
      </c>
      <c r="D34">
        <v>1390</v>
      </c>
      <c r="E34">
        <v>0.78962703962703995</v>
      </c>
      <c r="F34">
        <v>0.21037296037295999</v>
      </c>
      <c r="G34">
        <v>1355</v>
      </c>
      <c r="H34">
        <v>175</v>
      </c>
      <c r="I34">
        <v>91</v>
      </c>
      <c r="J34">
        <v>46</v>
      </c>
      <c r="K34">
        <v>25</v>
      </c>
      <c r="L34">
        <v>15</v>
      </c>
      <c r="M34">
        <v>9</v>
      </c>
      <c r="N34">
        <v>0.78962703962703995</v>
      </c>
      <c r="O34">
        <v>0.101981351981352</v>
      </c>
      <c r="P34">
        <v>5.3030303030302997E-2</v>
      </c>
      <c r="Q34">
        <v>2.6806526806526801E-2</v>
      </c>
      <c r="R34">
        <v>1.4568764568764599E-2</v>
      </c>
      <c r="S34">
        <v>8.7412587412587402E-3</v>
      </c>
      <c r="T34">
        <v>5.2447552447552398E-3</v>
      </c>
      <c r="U34">
        <v>0.48476454293628801</v>
      </c>
      <c r="V34">
        <v>0.25207756232687001</v>
      </c>
      <c r="W34">
        <v>0.127423822714681</v>
      </c>
      <c r="X34">
        <v>6.9252077562326902E-2</v>
      </c>
      <c r="Y34">
        <v>4.15512465373961E-2</v>
      </c>
      <c r="Z34">
        <v>2.4930747922437699E-2</v>
      </c>
      <c r="AA34">
        <v>175</v>
      </c>
      <c r="AB34">
        <v>214</v>
      </c>
      <c r="AC34">
        <v>222</v>
      </c>
      <c r="AD34">
        <v>214</v>
      </c>
      <c r="AE34">
        <v>248</v>
      </c>
      <c r="AF34">
        <v>317</v>
      </c>
      <c r="AG34">
        <v>0.81002331002330996</v>
      </c>
      <c r="AH34">
        <v>3.8504155124653701</v>
      </c>
      <c r="AI34">
        <v>361</v>
      </c>
      <c r="AJ34">
        <v>21.037296037295999</v>
      </c>
      <c r="AK34">
        <v>409</v>
      </c>
      <c r="AL34">
        <v>392</v>
      </c>
      <c r="AM34">
        <v>370</v>
      </c>
      <c r="AN34">
        <v>0.90400000000000003</v>
      </c>
      <c r="AO34">
        <v>31</v>
      </c>
      <c r="AP34">
        <v>11.438446346280401</v>
      </c>
    </row>
    <row r="35" spans="1:42" x14ac:dyDescent="0.35">
      <c r="A35" s="1">
        <v>45505</v>
      </c>
      <c r="B35" t="s">
        <v>0</v>
      </c>
      <c r="C35">
        <v>1947</v>
      </c>
      <c r="D35">
        <v>1012</v>
      </c>
      <c r="E35">
        <v>0.90087313816127401</v>
      </c>
      <c r="F35">
        <v>9.9126861838726293E-2</v>
      </c>
      <c r="G35">
        <v>1754</v>
      </c>
      <c r="H35">
        <v>39</v>
      </c>
      <c r="I35">
        <v>63</v>
      </c>
      <c r="J35">
        <v>39</v>
      </c>
      <c r="K35">
        <v>37</v>
      </c>
      <c r="L35">
        <v>8</v>
      </c>
      <c r="M35">
        <v>7</v>
      </c>
      <c r="N35">
        <v>0.90087313816127401</v>
      </c>
      <c r="O35">
        <v>2.0030816640986101E-2</v>
      </c>
      <c r="P35">
        <v>3.2357473035439101E-2</v>
      </c>
      <c r="Q35">
        <v>2.0030816640986101E-2</v>
      </c>
      <c r="R35">
        <v>1.9003595274781699E-2</v>
      </c>
      <c r="S35">
        <v>4.1088854648176701E-3</v>
      </c>
      <c r="T35">
        <v>3.59527478171546E-3</v>
      </c>
      <c r="U35">
        <v>0.20207253886010401</v>
      </c>
      <c r="V35">
        <v>0.32642487046632102</v>
      </c>
      <c r="W35">
        <v>0.20207253886010401</v>
      </c>
      <c r="X35">
        <v>0.19170984455958501</v>
      </c>
      <c r="Y35">
        <v>4.1450777202072499E-2</v>
      </c>
      <c r="Z35">
        <v>3.6269430051813503E-2</v>
      </c>
      <c r="AA35">
        <v>39</v>
      </c>
      <c r="AB35">
        <v>148</v>
      </c>
      <c r="AC35">
        <v>195</v>
      </c>
      <c r="AD35">
        <v>332</v>
      </c>
      <c r="AE35">
        <v>126</v>
      </c>
      <c r="AF35">
        <v>172</v>
      </c>
      <c r="AG35">
        <v>0.51977401129943501</v>
      </c>
      <c r="AH35">
        <v>5.2435233160621797</v>
      </c>
      <c r="AI35">
        <v>193</v>
      </c>
      <c r="AJ35">
        <v>9.9126861838726192</v>
      </c>
      <c r="AK35">
        <v>533</v>
      </c>
      <c r="AL35">
        <v>488</v>
      </c>
      <c r="AM35">
        <v>498</v>
      </c>
      <c r="AN35">
        <v>0.93500000000000005</v>
      </c>
      <c r="AO35">
        <v>31</v>
      </c>
      <c r="AP35">
        <v>6.6895822316234801</v>
      </c>
    </row>
    <row r="36" spans="1:42" x14ac:dyDescent="0.35">
      <c r="A36" s="1">
        <v>45505</v>
      </c>
      <c r="B36" t="s">
        <v>3</v>
      </c>
      <c r="C36">
        <v>1903</v>
      </c>
      <c r="D36">
        <v>2821</v>
      </c>
      <c r="E36">
        <v>0.79873883342091401</v>
      </c>
      <c r="F36">
        <v>0.20126116657908599</v>
      </c>
      <c r="G36">
        <v>1520</v>
      </c>
      <c r="H36">
        <v>111</v>
      </c>
      <c r="I36">
        <v>83</v>
      </c>
      <c r="J36">
        <v>46</v>
      </c>
      <c r="K36">
        <v>71</v>
      </c>
      <c r="L36">
        <v>37</v>
      </c>
      <c r="M36">
        <v>35</v>
      </c>
      <c r="N36">
        <v>0.79873883342091401</v>
      </c>
      <c r="O36">
        <v>5.8328954282711502E-2</v>
      </c>
      <c r="P36">
        <v>4.3615344193378897E-2</v>
      </c>
      <c r="Q36">
        <v>2.4172359432475001E-2</v>
      </c>
      <c r="R36">
        <v>3.7309511297950598E-2</v>
      </c>
      <c r="S36">
        <v>1.9442984760903802E-2</v>
      </c>
      <c r="T36">
        <v>1.8392012611665801E-2</v>
      </c>
      <c r="U36">
        <v>0.28981723237597901</v>
      </c>
      <c r="V36">
        <v>0.21671018276762399</v>
      </c>
      <c r="W36">
        <v>0.120104438642298</v>
      </c>
      <c r="X36">
        <v>0.18537859007832899</v>
      </c>
      <c r="Y36">
        <v>9.6605744125326395E-2</v>
      </c>
      <c r="Z36">
        <v>9.1383812010443904E-2</v>
      </c>
      <c r="AA36">
        <v>111</v>
      </c>
      <c r="AB36">
        <v>203</v>
      </c>
      <c r="AC36">
        <v>235</v>
      </c>
      <c r="AD36">
        <v>663</v>
      </c>
      <c r="AE36">
        <v>586</v>
      </c>
      <c r="AF36">
        <v>1023</v>
      </c>
      <c r="AG36">
        <v>1.48239621650026</v>
      </c>
      <c r="AH36">
        <v>7.3655352480417804</v>
      </c>
      <c r="AI36">
        <v>383</v>
      </c>
      <c r="AJ36">
        <v>20.1261166579086</v>
      </c>
      <c r="AK36">
        <v>447</v>
      </c>
      <c r="AL36">
        <v>432</v>
      </c>
      <c r="AM36">
        <v>410</v>
      </c>
      <c r="AN36">
        <v>0.91800000000000004</v>
      </c>
      <c r="AO36">
        <v>31</v>
      </c>
      <c r="AP36">
        <v>21.064814814814799</v>
      </c>
    </row>
    <row r="37" spans="1:42" x14ac:dyDescent="0.35">
      <c r="A37" s="1">
        <v>45536</v>
      </c>
      <c r="B37" t="s">
        <v>1</v>
      </c>
      <c r="C37">
        <v>1174</v>
      </c>
      <c r="D37">
        <v>1218</v>
      </c>
      <c r="E37">
        <v>0.858603066439523</v>
      </c>
      <c r="F37">
        <v>0.141396933560477</v>
      </c>
      <c r="G37">
        <v>1008</v>
      </c>
      <c r="H37">
        <v>48</v>
      </c>
      <c r="I37">
        <v>34</v>
      </c>
      <c r="J37">
        <v>27</v>
      </c>
      <c r="K37">
        <v>34</v>
      </c>
      <c r="L37">
        <v>11</v>
      </c>
      <c r="M37">
        <v>12</v>
      </c>
      <c r="N37">
        <v>0.858603066439523</v>
      </c>
      <c r="O37">
        <v>4.0885860306643901E-2</v>
      </c>
      <c r="P37">
        <v>2.89608177172061E-2</v>
      </c>
      <c r="Q37">
        <v>2.2998296422487199E-2</v>
      </c>
      <c r="R37">
        <v>2.89608177172061E-2</v>
      </c>
      <c r="S37">
        <v>9.3696763202725693E-3</v>
      </c>
      <c r="T37">
        <v>1.0221465076660999E-2</v>
      </c>
      <c r="U37">
        <v>0.28915662650602397</v>
      </c>
      <c r="V37">
        <v>0.20481927710843401</v>
      </c>
      <c r="W37">
        <v>0.16265060240963899</v>
      </c>
      <c r="X37">
        <v>0.20481927710843401</v>
      </c>
      <c r="Y37">
        <v>6.6265060240963902E-2</v>
      </c>
      <c r="Z37">
        <v>7.2289156626505993E-2</v>
      </c>
      <c r="AA37">
        <v>48</v>
      </c>
      <c r="AB37">
        <v>81</v>
      </c>
      <c r="AC37">
        <v>139</v>
      </c>
      <c r="AD37">
        <v>320</v>
      </c>
      <c r="AE37">
        <v>175</v>
      </c>
      <c r="AF37">
        <v>455</v>
      </c>
      <c r="AG37">
        <v>1.0374787052810901</v>
      </c>
      <c r="AH37">
        <v>7.3373493975903603</v>
      </c>
      <c r="AI37">
        <v>166</v>
      </c>
      <c r="AJ37">
        <v>14.139693356047699</v>
      </c>
      <c r="AK37">
        <v>336</v>
      </c>
      <c r="AL37">
        <v>321</v>
      </c>
      <c r="AM37">
        <v>321</v>
      </c>
      <c r="AN37">
        <v>0.95699999999999996</v>
      </c>
      <c r="AO37">
        <v>30</v>
      </c>
      <c r="AP37">
        <v>12.6479750778816</v>
      </c>
    </row>
    <row r="38" spans="1:42" x14ac:dyDescent="0.35">
      <c r="A38" s="1">
        <v>45536</v>
      </c>
      <c r="B38" t="s">
        <v>5</v>
      </c>
      <c r="C38">
        <v>1324</v>
      </c>
      <c r="D38">
        <v>3231</v>
      </c>
      <c r="E38">
        <v>0.60422960725075503</v>
      </c>
      <c r="F38">
        <v>0.39577039274924503</v>
      </c>
      <c r="G38">
        <v>800</v>
      </c>
      <c r="H38">
        <v>130</v>
      </c>
      <c r="I38">
        <v>147</v>
      </c>
      <c r="J38">
        <v>87</v>
      </c>
      <c r="K38">
        <v>101</v>
      </c>
      <c r="L38">
        <v>25</v>
      </c>
      <c r="M38">
        <v>34</v>
      </c>
      <c r="N38">
        <v>0.60422960725075503</v>
      </c>
      <c r="O38">
        <v>9.8187311178247694E-2</v>
      </c>
      <c r="P38">
        <v>0.111027190332326</v>
      </c>
      <c r="Q38">
        <v>6.5709969788519604E-2</v>
      </c>
      <c r="R38">
        <v>7.62839879154079E-2</v>
      </c>
      <c r="S38">
        <v>1.8882175226586102E-2</v>
      </c>
      <c r="T38">
        <v>2.5679758308157101E-2</v>
      </c>
      <c r="U38">
        <v>0.248091603053435</v>
      </c>
      <c r="V38">
        <v>0.280534351145038</v>
      </c>
      <c r="W38">
        <v>0.16603053435114501</v>
      </c>
      <c r="X38">
        <v>0.19274809160305301</v>
      </c>
      <c r="Y38">
        <v>4.7709923664122099E-2</v>
      </c>
      <c r="Z38">
        <v>6.4885496183206104E-2</v>
      </c>
      <c r="AA38">
        <v>130</v>
      </c>
      <c r="AB38">
        <v>352</v>
      </c>
      <c r="AC38">
        <v>418</v>
      </c>
      <c r="AD38">
        <v>927</v>
      </c>
      <c r="AE38">
        <v>401</v>
      </c>
      <c r="AF38">
        <v>1003</v>
      </c>
      <c r="AG38">
        <v>2.4403323262839902</v>
      </c>
      <c r="AH38">
        <v>6.1660305343511403</v>
      </c>
      <c r="AI38">
        <v>524</v>
      </c>
      <c r="AJ38">
        <v>39.577039274924502</v>
      </c>
      <c r="AK38">
        <v>384</v>
      </c>
      <c r="AL38">
        <v>384</v>
      </c>
      <c r="AM38">
        <v>379</v>
      </c>
      <c r="AN38">
        <v>0.98699999999999999</v>
      </c>
      <c r="AO38">
        <v>30</v>
      </c>
      <c r="AP38">
        <v>28.046875</v>
      </c>
    </row>
    <row r="39" spans="1:42" x14ac:dyDescent="0.35">
      <c r="A39" s="1">
        <v>45536</v>
      </c>
      <c r="B39" t="s">
        <v>6</v>
      </c>
      <c r="C39">
        <v>3689</v>
      </c>
      <c r="D39">
        <v>3479</v>
      </c>
      <c r="E39">
        <v>0.90837625372729702</v>
      </c>
      <c r="F39">
        <v>9.1623746272702603E-2</v>
      </c>
      <c r="G39">
        <v>3351</v>
      </c>
      <c r="H39">
        <v>58</v>
      </c>
      <c r="I39">
        <v>57</v>
      </c>
      <c r="J39">
        <v>72</v>
      </c>
      <c r="K39">
        <v>70</v>
      </c>
      <c r="L39">
        <v>35</v>
      </c>
      <c r="M39">
        <v>46</v>
      </c>
      <c r="N39">
        <v>0.90837625372729702</v>
      </c>
      <c r="O39">
        <v>1.57224179994578E-2</v>
      </c>
      <c r="P39">
        <v>1.54513418270534E-2</v>
      </c>
      <c r="Q39">
        <v>1.9517484413120099E-2</v>
      </c>
      <c r="R39">
        <v>1.8975332068311201E-2</v>
      </c>
      <c r="S39">
        <v>9.4876660341556007E-3</v>
      </c>
      <c r="T39">
        <v>1.24695039306045E-2</v>
      </c>
      <c r="U39">
        <v>0.171597633136095</v>
      </c>
      <c r="V39">
        <v>0.16863905325443801</v>
      </c>
      <c r="W39">
        <v>0.21301775147929</v>
      </c>
      <c r="X39">
        <v>0.207100591715976</v>
      </c>
      <c r="Y39">
        <v>0.103550295857988</v>
      </c>
      <c r="Z39">
        <v>0.13609467455621299</v>
      </c>
      <c r="AA39">
        <v>58</v>
      </c>
      <c r="AB39">
        <v>137</v>
      </c>
      <c r="AC39">
        <v>358</v>
      </c>
      <c r="AD39">
        <v>668</v>
      </c>
      <c r="AE39">
        <v>588</v>
      </c>
      <c r="AF39">
        <v>1670</v>
      </c>
      <c r="AG39">
        <v>0.94307400379506601</v>
      </c>
      <c r="AH39">
        <v>10.292899408284001</v>
      </c>
      <c r="AI39">
        <v>338</v>
      </c>
      <c r="AJ39">
        <v>9.1623746272702604</v>
      </c>
      <c r="AK39">
        <v>868</v>
      </c>
      <c r="AL39">
        <v>808</v>
      </c>
      <c r="AM39">
        <v>766</v>
      </c>
      <c r="AN39">
        <v>0.88300000000000001</v>
      </c>
      <c r="AO39">
        <v>30</v>
      </c>
      <c r="AP39">
        <v>14.3523102310231</v>
      </c>
    </row>
    <row r="40" spans="1:42" x14ac:dyDescent="0.35">
      <c r="A40" s="1">
        <v>45536</v>
      </c>
      <c r="B40" t="s">
        <v>2</v>
      </c>
      <c r="C40">
        <v>4237</v>
      </c>
      <c r="D40">
        <v>6389</v>
      </c>
      <c r="E40">
        <v>0.84139721501062104</v>
      </c>
      <c r="F40">
        <v>0.15860278498937899</v>
      </c>
      <c r="G40">
        <v>3565</v>
      </c>
      <c r="H40">
        <v>209</v>
      </c>
      <c r="I40">
        <v>126</v>
      </c>
      <c r="J40">
        <v>109</v>
      </c>
      <c r="K40">
        <v>120</v>
      </c>
      <c r="L40">
        <v>35</v>
      </c>
      <c r="M40">
        <v>73</v>
      </c>
      <c r="N40">
        <v>0.84139721501062104</v>
      </c>
      <c r="O40">
        <v>4.9327354260089697E-2</v>
      </c>
      <c r="P40">
        <v>2.9738022185508601E-2</v>
      </c>
      <c r="Q40">
        <v>2.5725749350955899E-2</v>
      </c>
      <c r="R40">
        <v>2.8321925890960602E-2</v>
      </c>
      <c r="S40">
        <v>8.2605617181968401E-3</v>
      </c>
      <c r="T40">
        <v>1.7229171583667699E-2</v>
      </c>
      <c r="U40">
        <v>0.31101190476190499</v>
      </c>
      <c r="V40">
        <v>0.1875</v>
      </c>
      <c r="W40">
        <v>0.16220238095238099</v>
      </c>
      <c r="X40">
        <v>0.17857142857142899</v>
      </c>
      <c r="Y40">
        <v>5.2083333333333301E-2</v>
      </c>
      <c r="Z40">
        <v>0.108630952380952</v>
      </c>
      <c r="AA40">
        <v>209</v>
      </c>
      <c r="AB40">
        <v>312</v>
      </c>
      <c r="AC40">
        <v>529</v>
      </c>
      <c r="AD40">
        <v>1115</v>
      </c>
      <c r="AE40">
        <v>569</v>
      </c>
      <c r="AF40">
        <v>3655</v>
      </c>
      <c r="AG40">
        <v>1.50790653764456</v>
      </c>
      <c r="AH40">
        <v>9.5074404761904798</v>
      </c>
      <c r="AI40">
        <v>672</v>
      </c>
      <c r="AJ40">
        <v>15.8602784989379</v>
      </c>
      <c r="AK40">
        <v>1586</v>
      </c>
      <c r="AL40">
        <v>1586</v>
      </c>
      <c r="AM40">
        <v>1493</v>
      </c>
      <c r="AN40">
        <v>0.94199999999999995</v>
      </c>
      <c r="AO40">
        <v>30</v>
      </c>
      <c r="AP40">
        <v>13.4279108869273</v>
      </c>
    </row>
    <row r="41" spans="1:42" x14ac:dyDescent="0.35">
      <c r="A41" s="1">
        <v>45536</v>
      </c>
      <c r="B41" t="s">
        <v>4</v>
      </c>
      <c r="C41">
        <v>1632</v>
      </c>
      <c r="D41">
        <v>1550</v>
      </c>
      <c r="E41">
        <v>0.76225490196078405</v>
      </c>
      <c r="F41">
        <v>0.23774509803921601</v>
      </c>
      <c r="G41">
        <v>1244</v>
      </c>
      <c r="H41">
        <v>178</v>
      </c>
      <c r="I41">
        <v>111</v>
      </c>
      <c r="J41">
        <v>47</v>
      </c>
      <c r="K41">
        <v>24</v>
      </c>
      <c r="L41">
        <v>14</v>
      </c>
      <c r="M41">
        <v>14</v>
      </c>
      <c r="N41">
        <v>0.76225490196078405</v>
      </c>
      <c r="O41">
        <v>0.10906862745098</v>
      </c>
      <c r="P41">
        <v>6.8014705882352894E-2</v>
      </c>
      <c r="Q41">
        <v>2.8799019607843101E-2</v>
      </c>
      <c r="R41">
        <v>1.4705882352941201E-2</v>
      </c>
      <c r="S41">
        <v>8.5784313725490204E-3</v>
      </c>
      <c r="T41">
        <v>8.5784313725490204E-3</v>
      </c>
      <c r="U41">
        <v>0.45876288659793801</v>
      </c>
      <c r="V41">
        <v>0.286082474226804</v>
      </c>
      <c r="W41">
        <v>0.12113402061855701</v>
      </c>
      <c r="X41">
        <v>6.18556701030928E-2</v>
      </c>
      <c r="Y41">
        <v>3.60824742268041E-2</v>
      </c>
      <c r="Z41">
        <v>3.60824742268041E-2</v>
      </c>
      <c r="AA41">
        <v>178</v>
      </c>
      <c r="AB41">
        <v>264</v>
      </c>
      <c r="AC41">
        <v>216</v>
      </c>
      <c r="AD41">
        <v>202</v>
      </c>
      <c r="AE41">
        <v>239</v>
      </c>
      <c r="AF41">
        <v>451</v>
      </c>
      <c r="AG41">
        <v>0.94975490196078405</v>
      </c>
      <c r="AH41">
        <v>3.9948453608247401</v>
      </c>
      <c r="AI41">
        <v>388</v>
      </c>
      <c r="AJ41">
        <v>23.7745098039216</v>
      </c>
      <c r="AK41">
        <v>415</v>
      </c>
      <c r="AL41">
        <v>398</v>
      </c>
      <c r="AM41">
        <v>379</v>
      </c>
      <c r="AN41">
        <v>0.91300000000000003</v>
      </c>
      <c r="AO41">
        <v>30</v>
      </c>
      <c r="AP41">
        <v>12.9815745393635</v>
      </c>
    </row>
    <row r="42" spans="1:42" x14ac:dyDescent="0.35">
      <c r="A42" s="1">
        <v>45536</v>
      </c>
      <c r="B42" t="s">
        <v>0</v>
      </c>
      <c r="C42">
        <v>1908</v>
      </c>
      <c r="D42">
        <v>1134</v>
      </c>
      <c r="E42">
        <v>0.893081761006289</v>
      </c>
      <c r="F42">
        <v>0.106918238993711</v>
      </c>
      <c r="G42">
        <v>1704</v>
      </c>
      <c r="H42">
        <v>39</v>
      </c>
      <c r="I42">
        <v>59</v>
      </c>
      <c r="J42">
        <v>50</v>
      </c>
      <c r="K42">
        <v>37</v>
      </c>
      <c r="L42">
        <v>14</v>
      </c>
      <c r="M42">
        <v>5</v>
      </c>
      <c r="N42">
        <v>0.893081761006289</v>
      </c>
      <c r="O42">
        <v>2.0440251572327001E-2</v>
      </c>
      <c r="P42">
        <v>3.09224318658281E-2</v>
      </c>
      <c r="Q42">
        <v>2.6205450733752599E-2</v>
      </c>
      <c r="R42">
        <v>1.9392033542976899E-2</v>
      </c>
      <c r="S42">
        <v>7.3375262054507298E-3</v>
      </c>
      <c r="T42">
        <v>2.62054507337526E-3</v>
      </c>
      <c r="U42">
        <v>0.191176470588235</v>
      </c>
      <c r="V42">
        <v>0.28921568627451</v>
      </c>
      <c r="W42">
        <v>0.24509803921568599</v>
      </c>
      <c r="X42">
        <v>0.181372549019608</v>
      </c>
      <c r="Y42">
        <v>6.8627450980392204E-2</v>
      </c>
      <c r="Z42">
        <v>2.4509803921568599E-2</v>
      </c>
      <c r="AA42">
        <v>39</v>
      </c>
      <c r="AB42">
        <v>142</v>
      </c>
      <c r="AC42">
        <v>243</v>
      </c>
      <c r="AD42">
        <v>336</v>
      </c>
      <c r="AE42">
        <v>231</v>
      </c>
      <c r="AF42">
        <v>143</v>
      </c>
      <c r="AG42">
        <v>0.59433962264150897</v>
      </c>
      <c r="AH42">
        <v>5.5588235294117601</v>
      </c>
      <c r="AI42">
        <v>204</v>
      </c>
      <c r="AJ42">
        <v>10.6918238993711</v>
      </c>
      <c r="AK42">
        <v>537</v>
      </c>
      <c r="AL42">
        <v>492</v>
      </c>
      <c r="AM42">
        <v>514</v>
      </c>
      <c r="AN42">
        <v>0.95799999999999996</v>
      </c>
      <c r="AO42">
        <v>30</v>
      </c>
      <c r="AP42">
        <v>7.6829268292682897</v>
      </c>
    </row>
    <row r="43" spans="1:42" x14ac:dyDescent="0.35">
      <c r="A43" s="1">
        <v>45536</v>
      </c>
      <c r="B43" t="s">
        <v>3</v>
      </c>
      <c r="C43">
        <v>1759</v>
      </c>
      <c r="D43">
        <v>2801</v>
      </c>
      <c r="E43">
        <v>0.79988629903354203</v>
      </c>
      <c r="F43">
        <v>0.200113700966458</v>
      </c>
      <c r="G43">
        <v>1407</v>
      </c>
      <c r="H43">
        <v>108</v>
      </c>
      <c r="I43">
        <v>60</v>
      </c>
      <c r="J43">
        <v>49</v>
      </c>
      <c r="K43">
        <v>59</v>
      </c>
      <c r="L43">
        <v>44</v>
      </c>
      <c r="M43">
        <v>32</v>
      </c>
      <c r="N43">
        <v>0.79988629903354203</v>
      </c>
      <c r="O43">
        <v>6.1398521887435997E-2</v>
      </c>
      <c r="P43">
        <v>3.4110289937464497E-2</v>
      </c>
      <c r="Q43">
        <v>2.7856736782262699E-2</v>
      </c>
      <c r="R43">
        <v>3.3541785105173402E-2</v>
      </c>
      <c r="S43">
        <v>2.5014212620807299E-2</v>
      </c>
      <c r="T43">
        <v>1.8192154633314399E-2</v>
      </c>
      <c r="U43">
        <v>0.30681818181818199</v>
      </c>
      <c r="V43">
        <v>0.170454545454545</v>
      </c>
      <c r="W43">
        <v>0.139204545454545</v>
      </c>
      <c r="X43">
        <v>0.16761363636363599</v>
      </c>
      <c r="Y43">
        <v>0.125</v>
      </c>
      <c r="Z43">
        <v>9.0909090909090898E-2</v>
      </c>
      <c r="AA43">
        <v>108</v>
      </c>
      <c r="AB43">
        <v>143</v>
      </c>
      <c r="AC43">
        <v>239</v>
      </c>
      <c r="AD43">
        <v>549</v>
      </c>
      <c r="AE43">
        <v>703</v>
      </c>
      <c r="AF43">
        <v>1059</v>
      </c>
      <c r="AG43">
        <v>1.5923820352472999</v>
      </c>
      <c r="AH43">
        <v>7.9573863636363598</v>
      </c>
      <c r="AI43">
        <v>352</v>
      </c>
      <c r="AJ43">
        <v>20.011370096645798</v>
      </c>
      <c r="AK43">
        <v>447</v>
      </c>
      <c r="AL43">
        <v>432</v>
      </c>
      <c r="AM43">
        <v>411</v>
      </c>
      <c r="AN43">
        <v>0.92100000000000004</v>
      </c>
      <c r="AO43">
        <v>30</v>
      </c>
      <c r="AP43">
        <v>21.612654320987701</v>
      </c>
    </row>
    <row r="44" spans="1:42" x14ac:dyDescent="0.35">
      <c r="A44" s="1">
        <v>45566</v>
      </c>
      <c r="B44" t="s">
        <v>1</v>
      </c>
      <c r="C44">
        <v>1258</v>
      </c>
      <c r="D44">
        <v>1679</v>
      </c>
      <c r="E44">
        <v>0.83465818759936405</v>
      </c>
      <c r="F44">
        <v>0.165341812400636</v>
      </c>
      <c r="G44">
        <v>1050</v>
      </c>
      <c r="H44">
        <v>46</v>
      </c>
      <c r="I44">
        <v>34</v>
      </c>
      <c r="J44">
        <v>45</v>
      </c>
      <c r="K44">
        <v>48</v>
      </c>
      <c r="L44">
        <v>18</v>
      </c>
      <c r="M44">
        <v>17</v>
      </c>
      <c r="N44">
        <v>0.83465818759936405</v>
      </c>
      <c r="O44">
        <v>3.6565977742448297E-2</v>
      </c>
      <c r="P44">
        <v>2.7027027027027001E-2</v>
      </c>
      <c r="Q44">
        <v>3.5771065182829902E-2</v>
      </c>
      <c r="R44">
        <v>3.8155802861685198E-2</v>
      </c>
      <c r="S44">
        <v>1.4308426073132E-2</v>
      </c>
      <c r="T44">
        <v>1.35135135135135E-2</v>
      </c>
      <c r="U44">
        <v>0.22115384615384601</v>
      </c>
      <c r="V44">
        <v>0.16346153846153799</v>
      </c>
      <c r="W44">
        <v>0.21634615384615399</v>
      </c>
      <c r="X44">
        <v>0.230769230769231</v>
      </c>
      <c r="Y44">
        <v>8.6538461538461495E-2</v>
      </c>
      <c r="Z44">
        <v>8.1730769230769204E-2</v>
      </c>
      <c r="AA44">
        <v>46</v>
      </c>
      <c r="AB44">
        <v>82</v>
      </c>
      <c r="AC44">
        <v>214</v>
      </c>
      <c r="AD44">
        <v>452</v>
      </c>
      <c r="AE44">
        <v>303</v>
      </c>
      <c r="AF44">
        <v>582</v>
      </c>
      <c r="AG44">
        <v>1.3346581875993599</v>
      </c>
      <c r="AH44">
        <v>8.0721153846153904</v>
      </c>
      <c r="AI44">
        <v>208</v>
      </c>
      <c r="AJ44">
        <v>16.534181240063599</v>
      </c>
      <c r="AK44">
        <v>345</v>
      </c>
      <c r="AL44">
        <v>330</v>
      </c>
      <c r="AM44">
        <v>333</v>
      </c>
      <c r="AN44">
        <v>0.96499999999999997</v>
      </c>
      <c r="AO44">
        <v>31</v>
      </c>
      <c r="AP44">
        <v>16.412512218963801</v>
      </c>
    </row>
    <row r="45" spans="1:42" x14ac:dyDescent="0.35">
      <c r="A45" s="1">
        <v>45566</v>
      </c>
      <c r="B45" t="s">
        <v>5</v>
      </c>
      <c r="C45">
        <v>1505</v>
      </c>
      <c r="D45">
        <v>3954</v>
      </c>
      <c r="E45">
        <v>0.581395348837209</v>
      </c>
      <c r="F45">
        <v>0.418604651162791</v>
      </c>
      <c r="G45">
        <v>875</v>
      </c>
      <c r="H45">
        <v>143</v>
      </c>
      <c r="I45">
        <v>168</v>
      </c>
      <c r="J45">
        <v>134</v>
      </c>
      <c r="K45">
        <v>115</v>
      </c>
      <c r="L45">
        <v>36</v>
      </c>
      <c r="M45">
        <v>34</v>
      </c>
      <c r="N45">
        <v>0.581395348837209</v>
      </c>
      <c r="O45">
        <v>9.5016611295681105E-2</v>
      </c>
      <c r="P45">
        <v>0.111627906976744</v>
      </c>
      <c r="Q45">
        <v>8.9036544850498306E-2</v>
      </c>
      <c r="R45">
        <v>7.6411960132890394E-2</v>
      </c>
      <c r="S45">
        <v>2.39202657807309E-2</v>
      </c>
      <c r="T45">
        <v>2.2591362126245799E-2</v>
      </c>
      <c r="U45">
        <v>0.22698412698412701</v>
      </c>
      <c r="V45">
        <v>0.266666666666667</v>
      </c>
      <c r="W45">
        <v>0.212698412698413</v>
      </c>
      <c r="X45">
        <v>0.182539682539683</v>
      </c>
      <c r="Y45">
        <v>5.7142857142857099E-2</v>
      </c>
      <c r="Z45">
        <v>5.3968253968253999E-2</v>
      </c>
      <c r="AA45">
        <v>143</v>
      </c>
      <c r="AB45">
        <v>406</v>
      </c>
      <c r="AC45">
        <v>646</v>
      </c>
      <c r="AD45">
        <v>1072</v>
      </c>
      <c r="AE45">
        <v>597</v>
      </c>
      <c r="AF45">
        <v>1090</v>
      </c>
      <c r="AG45">
        <v>2.62724252491694</v>
      </c>
      <c r="AH45">
        <v>6.2761904761904797</v>
      </c>
      <c r="AI45">
        <v>630</v>
      </c>
      <c r="AJ45">
        <v>41.860465116279101</v>
      </c>
      <c r="AK45">
        <v>402</v>
      </c>
      <c r="AL45">
        <v>402</v>
      </c>
      <c r="AM45">
        <v>398</v>
      </c>
      <c r="AN45">
        <v>0.98899999999999999</v>
      </c>
      <c r="AO45">
        <v>31</v>
      </c>
      <c r="AP45">
        <v>31.7284545016851</v>
      </c>
    </row>
    <row r="46" spans="1:42" x14ac:dyDescent="0.35">
      <c r="A46" s="1">
        <v>45566</v>
      </c>
      <c r="B46" t="s">
        <v>6</v>
      </c>
      <c r="C46">
        <v>3918</v>
      </c>
      <c r="D46">
        <v>3793</v>
      </c>
      <c r="E46">
        <v>0.90326697294538005</v>
      </c>
      <c r="F46">
        <v>9.6733027054619697E-2</v>
      </c>
      <c r="G46">
        <v>3539</v>
      </c>
      <c r="H46">
        <v>48</v>
      </c>
      <c r="I46">
        <v>52</v>
      </c>
      <c r="J46">
        <v>69</v>
      </c>
      <c r="K46">
        <v>118</v>
      </c>
      <c r="L46">
        <v>46</v>
      </c>
      <c r="M46">
        <v>46</v>
      </c>
      <c r="N46">
        <v>0.90326697294538005</v>
      </c>
      <c r="O46">
        <v>1.22511485451761E-2</v>
      </c>
      <c r="P46">
        <v>1.3272077590607501E-2</v>
      </c>
      <c r="Q46">
        <v>1.7611026033690701E-2</v>
      </c>
      <c r="R46">
        <v>3.0117406840224601E-2</v>
      </c>
      <c r="S46">
        <v>1.1740684022460399E-2</v>
      </c>
      <c r="T46">
        <v>1.1740684022460399E-2</v>
      </c>
      <c r="U46">
        <v>0.12664907651714999</v>
      </c>
      <c r="V46">
        <v>0.137203166226913</v>
      </c>
      <c r="W46">
        <v>0.18205804749340401</v>
      </c>
      <c r="X46">
        <v>0.31134564643799501</v>
      </c>
      <c r="Y46">
        <v>0.12137203166226899</v>
      </c>
      <c r="Z46">
        <v>0.12137203166226899</v>
      </c>
      <c r="AA46">
        <v>48</v>
      </c>
      <c r="AB46">
        <v>126</v>
      </c>
      <c r="AC46">
        <v>333</v>
      </c>
      <c r="AD46">
        <v>1103</v>
      </c>
      <c r="AE46">
        <v>759</v>
      </c>
      <c r="AF46">
        <v>1424</v>
      </c>
      <c r="AG46">
        <v>0.96809596733027103</v>
      </c>
      <c r="AH46">
        <v>10.0079155672823</v>
      </c>
      <c r="AI46">
        <v>379</v>
      </c>
      <c r="AJ46">
        <v>9.6733027054619694</v>
      </c>
      <c r="AK46">
        <v>868</v>
      </c>
      <c r="AL46">
        <v>808</v>
      </c>
      <c r="AM46">
        <v>778</v>
      </c>
      <c r="AN46">
        <v>0.89600000000000002</v>
      </c>
      <c r="AO46">
        <v>31</v>
      </c>
      <c r="AP46">
        <v>15.142925582880901</v>
      </c>
    </row>
    <row r="47" spans="1:42" x14ac:dyDescent="0.35">
      <c r="A47" s="1">
        <v>45566</v>
      </c>
      <c r="B47" t="s">
        <v>2</v>
      </c>
      <c r="C47">
        <v>4789</v>
      </c>
      <c r="D47">
        <v>5805</v>
      </c>
      <c r="E47">
        <v>0.84610565880141997</v>
      </c>
      <c r="F47">
        <v>0.15389434119858</v>
      </c>
      <c r="G47">
        <v>4052</v>
      </c>
      <c r="H47">
        <v>245</v>
      </c>
      <c r="I47">
        <v>150</v>
      </c>
      <c r="J47">
        <v>113</v>
      </c>
      <c r="K47">
        <v>119</v>
      </c>
      <c r="L47">
        <v>44</v>
      </c>
      <c r="M47">
        <v>66</v>
      </c>
      <c r="N47">
        <v>0.84610565880141997</v>
      </c>
      <c r="O47">
        <v>5.1158905825850899E-2</v>
      </c>
      <c r="P47">
        <v>3.1321779077051602E-2</v>
      </c>
      <c r="Q47">
        <v>2.35957402380455E-2</v>
      </c>
      <c r="R47">
        <v>2.48486114011276E-2</v>
      </c>
      <c r="S47">
        <v>9.1877218626017897E-3</v>
      </c>
      <c r="T47">
        <v>1.3781582793902699E-2</v>
      </c>
      <c r="U47">
        <v>0.33242876526458598</v>
      </c>
      <c r="V47">
        <v>0.20352781546811399</v>
      </c>
      <c r="W47">
        <v>0.153324287652646</v>
      </c>
      <c r="X47">
        <v>0.16146540027136999</v>
      </c>
      <c r="Y47">
        <v>5.9701492537313397E-2</v>
      </c>
      <c r="Z47">
        <v>8.9552238805970102E-2</v>
      </c>
      <c r="AA47">
        <v>245</v>
      </c>
      <c r="AB47">
        <v>361</v>
      </c>
      <c r="AC47">
        <v>573</v>
      </c>
      <c r="AD47">
        <v>1078</v>
      </c>
      <c r="AE47">
        <v>706</v>
      </c>
      <c r="AF47">
        <v>2842</v>
      </c>
      <c r="AG47">
        <v>1.2121528502818999</v>
      </c>
      <c r="AH47">
        <v>7.8765264586160102</v>
      </c>
      <c r="AI47">
        <v>737</v>
      </c>
      <c r="AJ47">
        <v>15.389434119858</v>
      </c>
      <c r="AK47">
        <v>1592</v>
      </c>
      <c r="AL47">
        <v>1592</v>
      </c>
      <c r="AM47">
        <v>1518</v>
      </c>
      <c r="AN47">
        <v>0.95299999999999996</v>
      </c>
      <c r="AO47">
        <v>31</v>
      </c>
      <c r="AP47">
        <v>11.7624412384503</v>
      </c>
    </row>
    <row r="48" spans="1:42" x14ac:dyDescent="0.35">
      <c r="A48" s="1">
        <v>45566</v>
      </c>
      <c r="B48" t="s">
        <v>4</v>
      </c>
      <c r="C48">
        <v>1807</v>
      </c>
      <c r="D48">
        <v>1049</v>
      </c>
      <c r="E48">
        <v>0.81350304371887106</v>
      </c>
      <c r="F48">
        <v>0.186496956281129</v>
      </c>
      <c r="G48">
        <v>1470</v>
      </c>
      <c r="H48">
        <v>188</v>
      </c>
      <c r="I48">
        <v>73</v>
      </c>
      <c r="J48">
        <v>35</v>
      </c>
      <c r="K48">
        <v>29</v>
      </c>
      <c r="L48">
        <v>7</v>
      </c>
      <c r="M48">
        <v>5</v>
      </c>
      <c r="N48">
        <v>0.81350304371887106</v>
      </c>
      <c r="O48">
        <v>0.104039845047039</v>
      </c>
      <c r="P48">
        <v>4.0398450470392901E-2</v>
      </c>
      <c r="Q48">
        <v>1.9369120088544599E-2</v>
      </c>
      <c r="R48">
        <v>1.6048699501936901E-2</v>
      </c>
      <c r="S48">
        <v>3.87382401770891E-3</v>
      </c>
      <c r="T48">
        <v>2.76701715550636E-3</v>
      </c>
      <c r="U48">
        <v>0.55786350148368002</v>
      </c>
      <c r="V48">
        <v>0.21661721068249301</v>
      </c>
      <c r="W48">
        <v>0.103857566765579</v>
      </c>
      <c r="X48">
        <v>8.6053412462907999E-2</v>
      </c>
      <c r="Y48">
        <v>2.0771513353115698E-2</v>
      </c>
      <c r="Z48">
        <v>1.4836795252225501E-2</v>
      </c>
      <c r="AA48">
        <v>188</v>
      </c>
      <c r="AB48">
        <v>173</v>
      </c>
      <c r="AC48">
        <v>175</v>
      </c>
      <c r="AD48">
        <v>249</v>
      </c>
      <c r="AE48">
        <v>117</v>
      </c>
      <c r="AF48">
        <v>147</v>
      </c>
      <c r="AG48">
        <v>0.58052019922523501</v>
      </c>
      <c r="AH48">
        <v>3.1127596439169101</v>
      </c>
      <c r="AI48">
        <v>337</v>
      </c>
      <c r="AJ48">
        <v>18.649695628112902</v>
      </c>
      <c r="AK48">
        <v>418</v>
      </c>
      <c r="AL48">
        <v>401</v>
      </c>
      <c r="AM48">
        <v>384</v>
      </c>
      <c r="AN48">
        <v>0.91800000000000004</v>
      </c>
      <c r="AO48">
        <v>31</v>
      </c>
      <c r="AP48">
        <v>8.43858096693749</v>
      </c>
    </row>
    <row r="49" spans="1:42" x14ac:dyDescent="0.35">
      <c r="A49" s="1">
        <v>45566</v>
      </c>
      <c r="B49" t="s">
        <v>0</v>
      </c>
      <c r="C49">
        <v>2060</v>
      </c>
      <c r="D49">
        <v>1389</v>
      </c>
      <c r="E49">
        <v>0.88932038834951499</v>
      </c>
      <c r="F49">
        <v>0.110679611650485</v>
      </c>
      <c r="G49">
        <v>1832</v>
      </c>
      <c r="H49">
        <v>47</v>
      </c>
      <c r="I49">
        <v>60</v>
      </c>
      <c r="J49">
        <v>55</v>
      </c>
      <c r="K49">
        <v>44</v>
      </c>
      <c r="L49">
        <v>14</v>
      </c>
      <c r="M49">
        <v>8</v>
      </c>
      <c r="N49">
        <v>0.88932038834951499</v>
      </c>
      <c r="O49">
        <v>2.28155339805825E-2</v>
      </c>
      <c r="P49">
        <v>2.9126213592233E-2</v>
      </c>
      <c r="Q49">
        <v>2.6699029126213601E-2</v>
      </c>
      <c r="R49">
        <v>2.1359223300970901E-2</v>
      </c>
      <c r="S49">
        <v>6.7961165048543697E-3</v>
      </c>
      <c r="T49">
        <v>3.88349514563107E-3</v>
      </c>
      <c r="U49">
        <v>0.20614035087719301</v>
      </c>
      <c r="V49">
        <v>0.26315789473684198</v>
      </c>
      <c r="W49">
        <v>0.24122807017543901</v>
      </c>
      <c r="X49">
        <v>0.19298245614035101</v>
      </c>
      <c r="Y49">
        <v>6.14035087719298E-2</v>
      </c>
      <c r="Z49">
        <v>3.5087719298245598E-2</v>
      </c>
      <c r="AA49">
        <v>47</v>
      </c>
      <c r="AB49">
        <v>150</v>
      </c>
      <c r="AC49">
        <v>275</v>
      </c>
      <c r="AD49">
        <v>396</v>
      </c>
      <c r="AE49">
        <v>227</v>
      </c>
      <c r="AF49">
        <v>294</v>
      </c>
      <c r="AG49">
        <v>0.67427184466019396</v>
      </c>
      <c r="AH49">
        <v>6.0921052631578902</v>
      </c>
      <c r="AI49">
        <v>228</v>
      </c>
      <c r="AJ49">
        <v>11.0679611650485</v>
      </c>
      <c r="AK49">
        <v>561</v>
      </c>
      <c r="AL49">
        <v>516</v>
      </c>
      <c r="AM49">
        <v>542</v>
      </c>
      <c r="AN49">
        <v>0.96599999999999997</v>
      </c>
      <c r="AO49">
        <v>31</v>
      </c>
      <c r="AP49">
        <v>8.6834208552138001</v>
      </c>
    </row>
    <row r="50" spans="1:42" x14ac:dyDescent="0.35">
      <c r="A50" s="1">
        <v>45566</v>
      </c>
      <c r="B50" t="s">
        <v>3</v>
      </c>
      <c r="C50">
        <v>1923</v>
      </c>
      <c r="D50">
        <v>3601</v>
      </c>
      <c r="E50">
        <v>0.77951118044721801</v>
      </c>
      <c r="F50">
        <v>0.22048881955278199</v>
      </c>
      <c r="G50">
        <v>1499</v>
      </c>
      <c r="H50">
        <v>128</v>
      </c>
      <c r="I50">
        <v>86</v>
      </c>
      <c r="J50">
        <v>53</v>
      </c>
      <c r="K50">
        <v>75</v>
      </c>
      <c r="L50">
        <v>33</v>
      </c>
      <c r="M50">
        <v>49</v>
      </c>
      <c r="N50">
        <v>0.77951118044721801</v>
      </c>
      <c r="O50">
        <v>6.6562662506500295E-2</v>
      </c>
      <c r="P50">
        <v>4.4721788871554903E-2</v>
      </c>
      <c r="Q50">
        <v>2.7561102444097801E-2</v>
      </c>
      <c r="R50">
        <v>3.9001560062402497E-2</v>
      </c>
      <c r="S50">
        <v>1.7160686427457099E-2</v>
      </c>
      <c r="T50">
        <v>2.5481019240769599E-2</v>
      </c>
      <c r="U50">
        <v>0.30188679245283001</v>
      </c>
      <c r="V50">
        <v>0.20283018867924499</v>
      </c>
      <c r="W50">
        <v>0.125</v>
      </c>
      <c r="X50">
        <v>0.17688679245283001</v>
      </c>
      <c r="Y50">
        <v>7.7830188679245293E-2</v>
      </c>
      <c r="Z50">
        <v>0.115566037735849</v>
      </c>
      <c r="AA50">
        <v>128</v>
      </c>
      <c r="AB50">
        <v>207</v>
      </c>
      <c r="AC50">
        <v>257</v>
      </c>
      <c r="AD50">
        <v>723</v>
      </c>
      <c r="AE50">
        <v>542</v>
      </c>
      <c r="AF50">
        <v>1744</v>
      </c>
      <c r="AG50">
        <v>1.87259490379615</v>
      </c>
      <c r="AH50">
        <v>8.4929245283018897</v>
      </c>
      <c r="AI50">
        <v>424</v>
      </c>
      <c r="AJ50">
        <v>22.048881955278201</v>
      </c>
      <c r="AK50">
        <v>451</v>
      </c>
      <c r="AL50">
        <v>436</v>
      </c>
      <c r="AM50">
        <v>420</v>
      </c>
      <c r="AN50">
        <v>0.93100000000000005</v>
      </c>
      <c r="AO50">
        <v>31</v>
      </c>
      <c r="AP50">
        <v>26.642497780408402</v>
      </c>
    </row>
    <row r="51" spans="1:42" x14ac:dyDescent="0.35">
      <c r="A51" s="1">
        <v>45597</v>
      </c>
      <c r="B51" t="s">
        <v>1</v>
      </c>
      <c r="C51">
        <v>1280</v>
      </c>
      <c r="D51">
        <v>1593</v>
      </c>
      <c r="E51">
        <v>0.82734375000000004</v>
      </c>
      <c r="F51">
        <v>0.17265625000000001</v>
      </c>
      <c r="G51">
        <v>1059</v>
      </c>
      <c r="H51">
        <v>54</v>
      </c>
      <c r="I51">
        <v>44</v>
      </c>
      <c r="J51">
        <v>40</v>
      </c>
      <c r="K51">
        <v>51</v>
      </c>
      <c r="L51">
        <v>15</v>
      </c>
      <c r="M51">
        <v>17</v>
      </c>
      <c r="N51">
        <v>0.82734375000000004</v>
      </c>
      <c r="O51">
        <v>4.2187500000000003E-2</v>
      </c>
      <c r="P51">
        <v>3.4375000000000003E-2</v>
      </c>
      <c r="Q51">
        <v>3.125E-2</v>
      </c>
      <c r="R51">
        <v>3.9843749999999997E-2</v>
      </c>
      <c r="S51">
        <v>1.171875E-2</v>
      </c>
      <c r="T51">
        <v>1.328125E-2</v>
      </c>
      <c r="U51">
        <v>0.24434389140271501</v>
      </c>
      <c r="V51">
        <v>0.19909502262443399</v>
      </c>
      <c r="W51">
        <v>0.180995475113122</v>
      </c>
      <c r="X51">
        <v>0.230769230769231</v>
      </c>
      <c r="Y51">
        <v>6.7873303167420795E-2</v>
      </c>
      <c r="Z51">
        <v>7.69230769230769E-2</v>
      </c>
      <c r="AA51">
        <v>54</v>
      </c>
      <c r="AB51">
        <v>112</v>
      </c>
      <c r="AC51">
        <v>185</v>
      </c>
      <c r="AD51">
        <v>468</v>
      </c>
      <c r="AE51">
        <v>225</v>
      </c>
      <c r="AF51">
        <v>549</v>
      </c>
      <c r="AG51">
        <v>1.2445312500000001</v>
      </c>
      <c r="AH51">
        <v>7.2081447963800898</v>
      </c>
      <c r="AI51">
        <v>221</v>
      </c>
      <c r="AJ51">
        <v>17.265625</v>
      </c>
      <c r="AK51">
        <v>355</v>
      </c>
      <c r="AL51">
        <v>340</v>
      </c>
      <c r="AM51">
        <v>341</v>
      </c>
      <c r="AN51">
        <v>0.96199999999999997</v>
      </c>
      <c r="AO51">
        <v>30</v>
      </c>
      <c r="AP51">
        <v>15.617647058823501</v>
      </c>
    </row>
    <row r="52" spans="1:42" x14ac:dyDescent="0.35">
      <c r="A52" s="1">
        <v>45597</v>
      </c>
      <c r="B52" t="s">
        <v>5</v>
      </c>
      <c r="C52">
        <v>1399</v>
      </c>
      <c r="D52">
        <v>3534</v>
      </c>
      <c r="E52">
        <v>0.58827734095782702</v>
      </c>
      <c r="F52">
        <v>0.41172265904217298</v>
      </c>
      <c r="G52">
        <v>823</v>
      </c>
      <c r="H52">
        <v>135</v>
      </c>
      <c r="I52">
        <v>141</v>
      </c>
      <c r="J52">
        <v>120</v>
      </c>
      <c r="K52">
        <v>112</v>
      </c>
      <c r="L52">
        <v>42</v>
      </c>
      <c r="M52">
        <v>26</v>
      </c>
      <c r="N52">
        <v>0.58827734095782702</v>
      </c>
      <c r="O52">
        <v>9.6497498213009306E-2</v>
      </c>
      <c r="P52">
        <v>0.10078627591136501</v>
      </c>
      <c r="Q52">
        <v>8.5775553967119403E-2</v>
      </c>
      <c r="R52">
        <v>8.0057183702644794E-2</v>
      </c>
      <c r="S52">
        <v>3.0021443888491799E-2</v>
      </c>
      <c r="T52">
        <v>1.8584703359542501E-2</v>
      </c>
      <c r="U52">
        <v>0.234375</v>
      </c>
      <c r="V52">
        <v>0.24479166666666699</v>
      </c>
      <c r="W52">
        <v>0.20833333333333301</v>
      </c>
      <c r="X52">
        <v>0.194444444444444</v>
      </c>
      <c r="Y52">
        <v>7.2916666666666699E-2</v>
      </c>
      <c r="Z52">
        <v>4.5138888888888902E-2</v>
      </c>
      <c r="AA52">
        <v>135</v>
      </c>
      <c r="AB52">
        <v>346</v>
      </c>
      <c r="AC52">
        <v>579</v>
      </c>
      <c r="AD52">
        <v>1043</v>
      </c>
      <c r="AE52">
        <v>692</v>
      </c>
      <c r="AF52">
        <v>739</v>
      </c>
      <c r="AG52">
        <v>2.5260900643316702</v>
      </c>
      <c r="AH52">
        <v>6.1354166666666696</v>
      </c>
      <c r="AI52">
        <v>576</v>
      </c>
      <c r="AJ52">
        <v>41.172265904217298</v>
      </c>
      <c r="AK52">
        <v>389</v>
      </c>
      <c r="AL52">
        <v>389</v>
      </c>
      <c r="AM52">
        <v>382</v>
      </c>
      <c r="AN52">
        <v>0.98199999999999998</v>
      </c>
      <c r="AO52">
        <v>30</v>
      </c>
      <c r="AP52">
        <v>30.282776349614402</v>
      </c>
    </row>
    <row r="53" spans="1:42" x14ac:dyDescent="0.35">
      <c r="A53" s="1">
        <v>45597</v>
      </c>
      <c r="B53" t="s">
        <v>6</v>
      </c>
      <c r="C53">
        <v>4012</v>
      </c>
      <c r="D53">
        <v>3649</v>
      </c>
      <c r="E53">
        <v>0.91126620139581305</v>
      </c>
      <c r="F53">
        <v>8.8733798604187397E-2</v>
      </c>
      <c r="G53">
        <v>3656</v>
      </c>
      <c r="H53">
        <v>35</v>
      </c>
      <c r="I53">
        <v>65</v>
      </c>
      <c r="J53">
        <v>75</v>
      </c>
      <c r="K53">
        <v>106</v>
      </c>
      <c r="L53">
        <v>22</v>
      </c>
      <c r="M53">
        <v>53</v>
      </c>
      <c r="N53">
        <v>0.91126620139581305</v>
      </c>
      <c r="O53">
        <v>8.7238285144566295E-3</v>
      </c>
      <c r="P53">
        <v>1.6201395812562299E-2</v>
      </c>
      <c r="Q53">
        <v>1.8693918245264202E-2</v>
      </c>
      <c r="R53">
        <v>2.64207377866401E-2</v>
      </c>
      <c r="S53">
        <v>5.4835493519441699E-3</v>
      </c>
      <c r="T53">
        <v>1.321036889332E-2</v>
      </c>
      <c r="U53">
        <v>9.8314606741572996E-2</v>
      </c>
      <c r="V53">
        <v>0.18258426966292099</v>
      </c>
      <c r="W53">
        <v>0.210674157303371</v>
      </c>
      <c r="X53">
        <v>0.297752808988764</v>
      </c>
      <c r="Y53">
        <v>6.1797752808988797E-2</v>
      </c>
      <c r="Z53">
        <v>0.148876404494382</v>
      </c>
      <c r="AA53">
        <v>35</v>
      </c>
      <c r="AB53">
        <v>161</v>
      </c>
      <c r="AC53">
        <v>366</v>
      </c>
      <c r="AD53">
        <v>940</v>
      </c>
      <c r="AE53">
        <v>360</v>
      </c>
      <c r="AF53">
        <v>1787</v>
      </c>
      <c r="AG53">
        <v>0.90952143569292099</v>
      </c>
      <c r="AH53">
        <v>10.25</v>
      </c>
      <c r="AI53">
        <v>356</v>
      </c>
      <c r="AJ53">
        <v>8.8733798604187406</v>
      </c>
      <c r="AK53">
        <v>858</v>
      </c>
      <c r="AL53">
        <v>798</v>
      </c>
      <c r="AM53">
        <v>778</v>
      </c>
      <c r="AN53">
        <v>0.90700000000000003</v>
      </c>
      <c r="AO53">
        <v>30</v>
      </c>
      <c r="AP53">
        <v>15.242272347535501</v>
      </c>
    </row>
    <row r="54" spans="1:42" x14ac:dyDescent="0.35">
      <c r="A54" s="1">
        <v>45597</v>
      </c>
      <c r="B54" t="s">
        <v>2</v>
      </c>
      <c r="C54">
        <v>4404</v>
      </c>
      <c r="D54">
        <v>5874</v>
      </c>
      <c r="E54">
        <v>0.83378746594005404</v>
      </c>
      <c r="F54">
        <v>0.16621253405994599</v>
      </c>
      <c r="G54">
        <v>3672</v>
      </c>
      <c r="H54">
        <v>191</v>
      </c>
      <c r="I54">
        <v>161</v>
      </c>
      <c r="J54">
        <v>139</v>
      </c>
      <c r="K54">
        <v>126</v>
      </c>
      <c r="L54">
        <v>54</v>
      </c>
      <c r="M54">
        <v>61</v>
      </c>
      <c r="N54">
        <v>0.83378746594005404</v>
      </c>
      <c r="O54">
        <v>4.3369663941871001E-2</v>
      </c>
      <c r="P54">
        <v>3.65576748410536E-2</v>
      </c>
      <c r="Q54">
        <v>3.15622161671208E-2</v>
      </c>
      <c r="R54">
        <v>2.86103542234332E-2</v>
      </c>
      <c r="S54">
        <v>1.2261580381471401E-2</v>
      </c>
      <c r="T54">
        <v>1.38510445049955E-2</v>
      </c>
      <c r="U54">
        <v>0.260928961748634</v>
      </c>
      <c r="V54">
        <v>0.21994535519125699</v>
      </c>
      <c r="W54">
        <v>0.18989071038251401</v>
      </c>
      <c r="X54">
        <v>0.17213114754098399</v>
      </c>
      <c r="Y54">
        <v>7.3770491803278701E-2</v>
      </c>
      <c r="Z54">
        <v>8.3333333333333301E-2</v>
      </c>
      <c r="AA54">
        <v>191</v>
      </c>
      <c r="AB54">
        <v>392</v>
      </c>
      <c r="AC54">
        <v>697</v>
      </c>
      <c r="AD54">
        <v>1156</v>
      </c>
      <c r="AE54">
        <v>861</v>
      </c>
      <c r="AF54">
        <v>2577</v>
      </c>
      <c r="AG54">
        <v>1.3337874659400499</v>
      </c>
      <c r="AH54">
        <v>8.0245901639344304</v>
      </c>
      <c r="AI54">
        <v>732</v>
      </c>
      <c r="AJ54">
        <v>16.621253405994601</v>
      </c>
      <c r="AK54">
        <v>1596</v>
      </c>
      <c r="AL54">
        <v>1596</v>
      </c>
      <c r="AM54">
        <v>1532</v>
      </c>
      <c r="AN54">
        <v>0.96</v>
      </c>
      <c r="AO54">
        <v>30</v>
      </c>
      <c r="AP54">
        <v>12.2681704260652</v>
      </c>
    </row>
    <row r="55" spans="1:42" x14ac:dyDescent="0.35">
      <c r="A55" s="1">
        <v>45597</v>
      </c>
      <c r="B55" t="s">
        <v>4</v>
      </c>
      <c r="C55">
        <v>1856</v>
      </c>
      <c r="D55">
        <v>976</v>
      </c>
      <c r="E55">
        <v>0.84859913793103403</v>
      </c>
      <c r="F55">
        <v>0.151400862068966</v>
      </c>
      <c r="G55">
        <v>1575</v>
      </c>
      <c r="H55">
        <v>135</v>
      </c>
      <c r="I55">
        <v>71</v>
      </c>
      <c r="J55">
        <v>45</v>
      </c>
      <c r="K55">
        <v>17</v>
      </c>
      <c r="L55">
        <v>10</v>
      </c>
      <c r="M55">
        <v>3</v>
      </c>
      <c r="N55">
        <v>0.84859913793103403</v>
      </c>
      <c r="O55">
        <v>7.2737068965517196E-2</v>
      </c>
      <c r="P55">
        <v>3.8254310344827597E-2</v>
      </c>
      <c r="Q55">
        <v>2.42456896551724E-2</v>
      </c>
      <c r="R55">
        <v>9.1594827586206906E-3</v>
      </c>
      <c r="S55">
        <v>5.3879310344827598E-3</v>
      </c>
      <c r="T55">
        <v>1.6163793103448299E-3</v>
      </c>
      <c r="U55">
        <v>0.48042704626334498</v>
      </c>
      <c r="V55">
        <v>0.25266903914590699</v>
      </c>
      <c r="W55">
        <v>0.16014234875444799</v>
      </c>
      <c r="X55">
        <v>6.0498220640569401E-2</v>
      </c>
      <c r="Y55">
        <v>3.5587188612099599E-2</v>
      </c>
      <c r="Z55">
        <v>1.06761565836299E-2</v>
      </c>
      <c r="AA55">
        <v>135</v>
      </c>
      <c r="AB55">
        <v>168</v>
      </c>
      <c r="AC55">
        <v>214</v>
      </c>
      <c r="AD55">
        <v>171</v>
      </c>
      <c r="AE55">
        <v>157</v>
      </c>
      <c r="AF55">
        <v>131</v>
      </c>
      <c r="AG55">
        <v>0.52586206896551702</v>
      </c>
      <c r="AH55">
        <v>3.4733096085409301</v>
      </c>
      <c r="AI55">
        <v>281</v>
      </c>
      <c r="AJ55">
        <v>15.1400862068966</v>
      </c>
      <c r="AK55">
        <v>422</v>
      </c>
      <c r="AL55">
        <v>405</v>
      </c>
      <c r="AM55">
        <v>388</v>
      </c>
      <c r="AN55">
        <v>0.91800000000000004</v>
      </c>
      <c r="AO55">
        <v>30</v>
      </c>
      <c r="AP55">
        <v>8.0329218106995892</v>
      </c>
    </row>
    <row r="56" spans="1:42" x14ac:dyDescent="0.35">
      <c r="A56" s="1">
        <v>45597</v>
      </c>
      <c r="B56" t="s">
        <v>0</v>
      </c>
      <c r="C56">
        <v>2154</v>
      </c>
      <c r="D56">
        <v>1471</v>
      </c>
      <c r="E56">
        <v>0.88068709377901599</v>
      </c>
      <c r="F56">
        <v>0.11931290622098401</v>
      </c>
      <c r="G56">
        <v>1897</v>
      </c>
      <c r="H56">
        <v>45</v>
      </c>
      <c r="I56">
        <v>75</v>
      </c>
      <c r="J56">
        <v>67</v>
      </c>
      <c r="K56">
        <v>46</v>
      </c>
      <c r="L56">
        <v>16</v>
      </c>
      <c r="M56">
        <v>8</v>
      </c>
      <c r="N56">
        <v>0.88068709377901599</v>
      </c>
      <c r="O56">
        <v>2.0891364902506999E-2</v>
      </c>
      <c r="P56">
        <v>3.4818941504178302E-2</v>
      </c>
      <c r="Q56">
        <v>3.1104921077065899E-2</v>
      </c>
      <c r="R56">
        <v>2.1355617455895998E-2</v>
      </c>
      <c r="S56">
        <v>7.4280408542247E-3</v>
      </c>
      <c r="T56">
        <v>3.71402042711235E-3</v>
      </c>
      <c r="U56">
        <v>0.17509727626459101</v>
      </c>
      <c r="V56">
        <v>0.29182879377431897</v>
      </c>
      <c r="W56">
        <v>0.26070038910505799</v>
      </c>
      <c r="X56">
        <v>0.178988326848249</v>
      </c>
      <c r="Y56">
        <v>6.2256809338521402E-2</v>
      </c>
      <c r="Z56">
        <v>3.1128404669260701E-2</v>
      </c>
      <c r="AA56">
        <v>45</v>
      </c>
      <c r="AB56">
        <v>181</v>
      </c>
      <c r="AC56">
        <v>325</v>
      </c>
      <c r="AD56">
        <v>417</v>
      </c>
      <c r="AE56">
        <v>264</v>
      </c>
      <c r="AF56">
        <v>239</v>
      </c>
      <c r="AG56">
        <v>0.68291550603528295</v>
      </c>
      <c r="AH56">
        <v>5.7237354085603096</v>
      </c>
      <c r="AI56">
        <v>257</v>
      </c>
      <c r="AJ56">
        <v>11.9312906220984</v>
      </c>
      <c r="AK56">
        <v>565</v>
      </c>
      <c r="AL56">
        <v>520</v>
      </c>
      <c r="AM56">
        <v>545</v>
      </c>
      <c r="AN56">
        <v>0.96599999999999997</v>
      </c>
      <c r="AO56">
        <v>30</v>
      </c>
      <c r="AP56">
        <v>9.4294871794871806</v>
      </c>
    </row>
    <row r="57" spans="1:42" x14ac:dyDescent="0.35">
      <c r="A57" s="1">
        <v>45597</v>
      </c>
      <c r="B57" t="s">
        <v>3</v>
      </c>
      <c r="C57">
        <v>1891</v>
      </c>
      <c r="D57">
        <v>3452</v>
      </c>
      <c r="E57">
        <v>0.76150185087255395</v>
      </c>
      <c r="F57">
        <v>0.23849814912744599</v>
      </c>
      <c r="G57">
        <v>1440</v>
      </c>
      <c r="H57">
        <v>138</v>
      </c>
      <c r="I57">
        <v>88</v>
      </c>
      <c r="J57">
        <v>72</v>
      </c>
      <c r="K57">
        <v>72</v>
      </c>
      <c r="L57">
        <v>35</v>
      </c>
      <c r="M57">
        <v>46</v>
      </c>
      <c r="N57">
        <v>0.76150185087255395</v>
      </c>
      <c r="O57">
        <v>7.2977260708619804E-2</v>
      </c>
      <c r="P57">
        <v>4.6536224219989403E-2</v>
      </c>
      <c r="Q57">
        <v>3.8075092543627703E-2</v>
      </c>
      <c r="R57">
        <v>3.8075092543627703E-2</v>
      </c>
      <c r="S57">
        <v>1.85087255420412E-2</v>
      </c>
      <c r="T57">
        <v>2.43257535695399E-2</v>
      </c>
      <c r="U57">
        <v>0.30598669623059899</v>
      </c>
      <c r="V57">
        <v>0.19512195121951201</v>
      </c>
      <c r="W57">
        <v>0.15964523281596499</v>
      </c>
      <c r="X57">
        <v>0.15964523281596499</v>
      </c>
      <c r="Y57">
        <v>7.7605321507760505E-2</v>
      </c>
      <c r="Z57">
        <v>0.1019955654102</v>
      </c>
      <c r="AA57">
        <v>138</v>
      </c>
      <c r="AB57">
        <v>209</v>
      </c>
      <c r="AC57">
        <v>347</v>
      </c>
      <c r="AD57">
        <v>698</v>
      </c>
      <c r="AE57">
        <v>581</v>
      </c>
      <c r="AF57">
        <v>1479</v>
      </c>
      <c r="AG57">
        <v>1.82548915917504</v>
      </c>
      <c r="AH57">
        <v>7.6541019955654104</v>
      </c>
      <c r="AI57">
        <v>451</v>
      </c>
      <c r="AJ57">
        <v>23.849814912744598</v>
      </c>
      <c r="AK57">
        <v>453</v>
      </c>
      <c r="AL57">
        <v>438</v>
      </c>
      <c r="AM57">
        <v>423</v>
      </c>
      <c r="AN57">
        <v>0.93200000000000005</v>
      </c>
      <c r="AO57">
        <v>30</v>
      </c>
      <c r="AP57">
        <v>26.2709284627093</v>
      </c>
    </row>
    <row r="58" spans="1:42" x14ac:dyDescent="0.35">
      <c r="A58" s="1">
        <v>45627</v>
      </c>
      <c r="B58" t="s">
        <v>1</v>
      </c>
      <c r="C58">
        <v>1267</v>
      </c>
      <c r="D58">
        <v>1311</v>
      </c>
      <c r="E58">
        <v>0.84846093133385903</v>
      </c>
      <c r="F58">
        <v>0.15153906866614</v>
      </c>
      <c r="G58">
        <v>1075</v>
      </c>
      <c r="H58">
        <v>62</v>
      </c>
      <c r="I58">
        <v>25</v>
      </c>
      <c r="J58">
        <v>50</v>
      </c>
      <c r="K58">
        <v>33</v>
      </c>
      <c r="L58">
        <v>11</v>
      </c>
      <c r="M58">
        <v>11</v>
      </c>
      <c r="N58">
        <v>0.84846093133385903</v>
      </c>
      <c r="O58">
        <v>4.8934490923441203E-2</v>
      </c>
      <c r="P58">
        <v>1.9731649565903699E-2</v>
      </c>
      <c r="Q58">
        <v>3.9463299131807399E-2</v>
      </c>
      <c r="R58">
        <v>2.6045777426992898E-2</v>
      </c>
      <c r="S58">
        <v>8.6819258089976294E-3</v>
      </c>
      <c r="T58">
        <v>8.6819258089976294E-3</v>
      </c>
      <c r="U58">
        <v>0.32291666666666702</v>
      </c>
      <c r="V58">
        <v>0.13020833333333301</v>
      </c>
      <c r="W58">
        <v>0.26041666666666702</v>
      </c>
      <c r="X58">
        <v>0.171875</v>
      </c>
      <c r="Y58">
        <v>5.7291666666666699E-2</v>
      </c>
      <c r="Z58">
        <v>5.7291666666666699E-2</v>
      </c>
      <c r="AA58">
        <v>62</v>
      </c>
      <c r="AB58">
        <v>63</v>
      </c>
      <c r="AC58">
        <v>240</v>
      </c>
      <c r="AD58">
        <v>284</v>
      </c>
      <c r="AE58">
        <v>163</v>
      </c>
      <c r="AF58">
        <v>499</v>
      </c>
      <c r="AG58">
        <v>1.0347277032359901</v>
      </c>
      <c r="AH58">
        <v>6.828125</v>
      </c>
      <c r="AI58">
        <v>192</v>
      </c>
      <c r="AJ58">
        <v>15.153906866614101</v>
      </c>
      <c r="AK58">
        <v>362</v>
      </c>
      <c r="AL58">
        <v>347</v>
      </c>
      <c r="AM58">
        <v>340</v>
      </c>
      <c r="AN58">
        <v>0.93899999999999995</v>
      </c>
      <c r="AO58">
        <v>31</v>
      </c>
      <c r="AP58">
        <v>12.187412847448201</v>
      </c>
    </row>
    <row r="59" spans="1:42" x14ac:dyDescent="0.35">
      <c r="A59" s="1">
        <v>45627</v>
      </c>
      <c r="B59" t="s">
        <v>5</v>
      </c>
      <c r="C59">
        <v>1372</v>
      </c>
      <c r="D59">
        <v>3302</v>
      </c>
      <c r="E59">
        <v>0.58746355685131202</v>
      </c>
      <c r="F59">
        <v>0.41253644314868798</v>
      </c>
      <c r="G59">
        <v>806</v>
      </c>
      <c r="H59">
        <v>137</v>
      </c>
      <c r="I59">
        <v>153</v>
      </c>
      <c r="J59">
        <v>131</v>
      </c>
      <c r="K59">
        <v>97</v>
      </c>
      <c r="L59">
        <v>27</v>
      </c>
      <c r="M59">
        <v>21</v>
      </c>
      <c r="N59">
        <v>0.58746355685131202</v>
      </c>
      <c r="O59">
        <v>9.9854227405247797E-2</v>
      </c>
      <c r="P59">
        <v>0.11151603498542299</v>
      </c>
      <c r="Q59">
        <v>9.5481049562682205E-2</v>
      </c>
      <c r="R59">
        <v>7.0699708454810495E-2</v>
      </c>
      <c r="S59">
        <v>1.9679300291545201E-2</v>
      </c>
      <c r="T59">
        <v>1.53061224489796E-2</v>
      </c>
      <c r="U59">
        <v>0.242049469964664</v>
      </c>
      <c r="V59">
        <v>0.27031802120141302</v>
      </c>
      <c r="W59">
        <v>0.23144876325088301</v>
      </c>
      <c r="X59">
        <v>0.17137809187279199</v>
      </c>
      <c r="Y59">
        <v>4.7703180212014099E-2</v>
      </c>
      <c r="Z59">
        <v>3.7102473498233202E-2</v>
      </c>
      <c r="AA59">
        <v>137</v>
      </c>
      <c r="AB59">
        <v>372</v>
      </c>
      <c r="AC59">
        <v>632</v>
      </c>
      <c r="AD59">
        <v>923</v>
      </c>
      <c r="AE59">
        <v>447</v>
      </c>
      <c r="AF59">
        <v>791</v>
      </c>
      <c r="AG59">
        <v>2.4067055393586001</v>
      </c>
      <c r="AH59">
        <v>5.8339222614841004</v>
      </c>
      <c r="AI59">
        <v>566</v>
      </c>
      <c r="AJ59">
        <v>41.253644314868801</v>
      </c>
      <c r="AK59">
        <v>407</v>
      </c>
      <c r="AL59">
        <v>407</v>
      </c>
      <c r="AM59">
        <v>400</v>
      </c>
      <c r="AN59">
        <v>0.98099999999999998</v>
      </c>
      <c r="AO59">
        <v>31</v>
      </c>
      <c r="AP59">
        <v>26.1710390742649</v>
      </c>
    </row>
    <row r="60" spans="1:42" x14ac:dyDescent="0.35">
      <c r="A60" s="1">
        <v>45627</v>
      </c>
      <c r="B60" t="s">
        <v>6</v>
      </c>
      <c r="C60">
        <v>3983</v>
      </c>
      <c r="D60">
        <v>3906</v>
      </c>
      <c r="E60">
        <v>0.90635199598292704</v>
      </c>
      <c r="F60">
        <v>9.36480040170726E-2</v>
      </c>
      <c r="G60">
        <v>3610</v>
      </c>
      <c r="H60">
        <v>60</v>
      </c>
      <c r="I60">
        <v>66</v>
      </c>
      <c r="J60">
        <v>71</v>
      </c>
      <c r="K60">
        <v>90</v>
      </c>
      <c r="L60">
        <v>43</v>
      </c>
      <c r="M60">
        <v>43</v>
      </c>
      <c r="N60">
        <v>0.90635199598292704</v>
      </c>
      <c r="O60">
        <v>1.50640220938991E-2</v>
      </c>
      <c r="P60">
        <v>1.6570424303288998E-2</v>
      </c>
      <c r="Q60">
        <v>1.78257594777806E-2</v>
      </c>
      <c r="R60">
        <v>2.2596033140848602E-2</v>
      </c>
      <c r="S60">
        <v>1.07958825006277E-2</v>
      </c>
      <c r="T60">
        <v>1.07958825006277E-2</v>
      </c>
      <c r="U60">
        <v>0.16085790884718501</v>
      </c>
      <c r="V60">
        <v>0.17694369973190299</v>
      </c>
      <c r="W60">
        <v>0.190348525469169</v>
      </c>
      <c r="X60">
        <v>0.241286863270777</v>
      </c>
      <c r="Y60">
        <v>0.115281501340483</v>
      </c>
      <c r="Z60">
        <v>0.115281501340483</v>
      </c>
      <c r="AA60">
        <v>60</v>
      </c>
      <c r="AB60">
        <v>169</v>
      </c>
      <c r="AC60">
        <v>356</v>
      </c>
      <c r="AD60">
        <v>841</v>
      </c>
      <c r="AE60">
        <v>709</v>
      </c>
      <c r="AF60">
        <v>1771</v>
      </c>
      <c r="AG60">
        <v>0.98066783831283</v>
      </c>
      <c r="AH60">
        <v>10.4718498659517</v>
      </c>
      <c r="AI60">
        <v>373</v>
      </c>
      <c r="AJ60">
        <v>9.3648004017072601</v>
      </c>
      <c r="AK60">
        <v>859</v>
      </c>
      <c r="AL60">
        <v>799</v>
      </c>
      <c r="AM60">
        <v>773</v>
      </c>
      <c r="AN60">
        <v>0.9</v>
      </c>
      <c r="AO60">
        <v>31</v>
      </c>
      <c r="AP60">
        <v>15.7697121401752</v>
      </c>
    </row>
    <row r="61" spans="1:42" x14ac:dyDescent="0.35">
      <c r="A61" s="1">
        <v>45627</v>
      </c>
      <c r="B61" t="s">
        <v>2</v>
      </c>
      <c r="C61">
        <v>4400</v>
      </c>
      <c r="D61">
        <v>4857</v>
      </c>
      <c r="E61">
        <v>0.84477272727272701</v>
      </c>
      <c r="F61">
        <v>0.15522727272727299</v>
      </c>
      <c r="G61">
        <v>3717</v>
      </c>
      <c r="H61">
        <v>209</v>
      </c>
      <c r="I61">
        <v>155</v>
      </c>
      <c r="J61">
        <v>121</v>
      </c>
      <c r="K61">
        <v>105</v>
      </c>
      <c r="L61">
        <v>34</v>
      </c>
      <c r="M61">
        <v>59</v>
      </c>
      <c r="N61">
        <v>0.84477272727272701</v>
      </c>
      <c r="O61">
        <v>4.7500000000000001E-2</v>
      </c>
      <c r="P61">
        <v>3.5227272727272697E-2</v>
      </c>
      <c r="Q61">
        <v>2.75E-2</v>
      </c>
      <c r="R61">
        <v>2.3863636363636399E-2</v>
      </c>
      <c r="S61">
        <v>7.7272727272727302E-3</v>
      </c>
      <c r="T61">
        <v>1.34090909090909E-2</v>
      </c>
      <c r="U61">
        <v>0.30600292825768699</v>
      </c>
      <c r="V61">
        <v>0.226939970717423</v>
      </c>
      <c r="W61">
        <v>0.17715959004392401</v>
      </c>
      <c r="X61">
        <v>0.15373352855051201</v>
      </c>
      <c r="Y61">
        <v>4.9780380673499297E-2</v>
      </c>
      <c r="Z61">
        <v>8.6383601756954601E-2</v>
      </c>
      <c r="AA61">
        <v>209</v>
      </c>
      <c r="AB61">
        <v>377</v>
      </c>
      <c r="AC61">
        <v>610</v>
      </c>
      <c r="AD61">
        <v>962</v>
      </c>
      <c r="AE61">
        <v>547</v>
      </c>
      <c r="AF61">
        <v>2152</v>
      </c>
      <c r="AG61">
        <v>1.10386363636364</v>
      </c>
      <c r="AH61">
        <v>7.1112737920936997</v>
      </c>
      <c r="AI61">
        <v>683</v>
      </c>
      <c r="AJ61">
        <v>15.5227272727273</v>
      </c>
      <c r="AK61">
        <v>1598</v>
      </c>
      <c r="AL61">
        <v>1598</v>
      </c>
      <c r="AM61">
        <v>1542</v>
      </c>
      <c r="AN61">
        <v>0.96499999999999997</v>
      </c>
      <c r="AO61">
        <v>31</v>
      </c>
      <c r="AP61">
        <v>9.8045944527433502</v>
      </c>
    </row>
    <row r="62" spans="1:42" x14ac:dyDescent="0.35">
      <c r="A62" s="1">
        <v>45627</v>
      </c>
      <c r="B62" t="s">
        <v>4</v>
      </c>
      <c r="C62">
        <v>1749</v>
      </c>
      <c r="D62">
        <v>700</v>
      </c>
      <c r="E62">
        <v>0.85305889079473995</v>
      </c>
      <c r="F62">
        <v>0.14694110920525999</v>
      </c>
      <c r="G62">
        <v>1492</v>
      </c>
      <c r="H62">
        <v>141</v>
      </c>
      <c r="I62">
        <v>74</v>
      </c>
      <c r="J62">
        <v>22</v>
      </c>
      <c r="K62">
        <v>11</v>
      </c>
      <c r="L62">
        <v>8</v>
      </c>
      <c r="M62">
        <v>1</v>
      </c>
      <c r="N62">
        <v>0.85305889079473995</v>
      </c>
      <c r="O62">
        <v>8.0617495711835296E-2</v>
      </c>
      <c r="P62">
        <v>4.23098913664951E-2</v>
      </c>
      <c r="Q62">
        <v>1.25786163522013E-2</v>
      </c>
      <c r="R62">
        <v>6.2893081761006301E-3</v>
      </c>
      <c r="S62">
        <v>4.5740423098913699E-3</v>
      </c>
      <c r="T62">
        <v>5.7175528873642102E-4</v>
      </c>
      <c r="U62">
        <v>0.54863813229572</v>
      </c>
      <c r="V62">
        <v>0.28793774319066101</v>
      </c>
      <c r="W62">
        <v>8.56031128404669E-2</v>
      </c>
      <c r="X62">
        <v>4.2801556420233498E-2</v>
      </c>
      <c r="Y62">
        <v>3.1128404669260701E-2</v>
      </c>
      <c r="Z62">
        <v>3.8910505836575902E-3</v>
      </c>
      <c r="AA62">
        <v>141</v>
      </c>
      <c r="AB62">
        <v>178</v>
      </c>
      <c r="AC62">
        <v>110</v>
      </c>
      <c r="AD62">
        <v>103</v>
      </c>
      <c r="AE62">
        <v>131</v>
      </c>
      <c r="AF62">
        <v>37</v>
      </c>
      <c r="AG62">
        <v>0.40022870211549499</v>
      </c>
      <c r="AH62">
        <v>2.72373540856031</v>
      </c>
      <c r="AI62">
        <v>257</v>
      </c>
      <c r="AJ62">
        <v>14.694110920526001</v>
      </c>
      <c r="AK62">
        <v>420</v>
      </c>
      <c r="AL62">
        <v>403</v>
      </c>
      <c r="AM62">
        <v>388</v>
      </c>
      <c r="AN62">
        <v>0.92400000000000004</v>
      </c>
      <c r="AO62">
        <v>31</v>
      </c>
      <c r="AP62">
        <v>5.6031377571440002</v>
      </c>
    </row>
    <row r="63" spans="1:42" x14ac:dyDescent="0.35">
      <c r="A63" s="1">
        <v>45627</v>
      </c>
      <c r="B63" t="s">
        <v>0</v>
      </c>
      <c r="C63">
        <v>2095</v>
      </c>
      <c r="D63">
        <v>1225</v>
      </c>
      <c r="E63">
        <v>0.89594272076372306</v>
      </c>
      <c r="F63">
        <v>0.104057279236277</v>
      </c>
      <c r="G63">
        <v>1877</v>
      </c>
      <c r="H63">
        <v>29</v>
      </c>
      <c r="I63">
        <v>65</v>
      </c>
      <c r="J63">
        <v>64</v>
      </c>
      <c r="K63">
        <v>47</v>
      </c>
      <c r="L63">
        <v>8</v>
      </c>
      <c r="M63">
        <v>5</v>
      </c>
      <c r="N63">
        <v>0.89594272076372306</v>
      </c>
      <c r="O63">
        <v>1.3842482100238701E-2</v>
      </c>
      <c r="P63">
        <v>3.10262529832936E-2</v>
      </c>
      <c r="Q63">
        <v>3.0548926014319799E-2</v>
      </c>
      <c r="R63">
        <v>2.2434367541766101E-2</v>
      </c>
      <c r="S63">
        <v>3.8186157517899801E-3</v>
      </c>
      <c r="T63">
        <v>2.38663484486874E-3</v>
      </c>
      <c r="U63">
        <v>0.13302752293577999</v>
      </c>
      <c r="V63">
        <v>0.298165137614679</v>
      </c>
      <c r="W63">
        <v>0.293577981651376</v>
      </c>
      <c r="X63">
        <v>0.21559633027522901</v>
      </c>
      <c r="Y63">
        <v>3.6697247706422E-2</v>
      </c>
      <c r="Z63">
        <v>2.2935779816513801E-2</v>
      </c>
      <c r="AA63">
        <v>29</v>
      </c>
      <c r="AB63">
        <v>161</v>
      </c>
      <c r="AC63">
        <v>307</v>
      </c>
      <c r="AD63">
        <v>427</v>
      </c>
      <c r="AE63">
        <v>128</v>
      </c>
      <c r="AF63">
        <v>173</v>
      </c>
      <c r="AG63">
        <v>0.58472553699284002</v>
      </c>
      <c r="AH63">
        <v>5.6192660550458697</v>
      </c>
      <c r="AI63">
        <v>218</v>
      </c>
      <c r="AJ63">
        <v>10.405727923627699</v>
      </c>
      <c r="AK63">
        <v>572</v>
      </c>
      <c r="AL63">
        <v>527</v>
      </c>
      <c r="AM63">
        <v>538</v>
      </c>
      <c r="AN63">
        <v>0.94199999999999995</v>
      </c>
      <c r="AO63">
        <v>31</v>
      </c>
      <c r="AP63">
        <v>7.4983167044132903</v>
      </c>
    </row>
    <row r="64" spans="1:42" x14ac:dyDescent="0.35">
      <c r="A64" s="1">
        <v>45627</v>
      </c>
      <c r="B64" t="s">
        <v>3</v>
      </c>
      <c r="C64">
        <v>1904</v>
      </c>
      <c r="D64">
        <v>1196</v>
      </c>
      <c r="E64">
        <v>0.83455882352941202</v>
      </c>
      <c r="F64">
        <v>0.16544117647058801</v>
      </c>
      <c r="G64">
        <v>1589</v>
      </c>
      <c r="H64">
        <v>137</v>
      </c>
      <c r="I64">
        <v>79</v>
      </c>
      <c r="J64">
        <v>47</v>
      </c>
      <c r="K64">
        <v>39</v>
      </c>
      <c r="L64">
        <v>8</v>
      </c>
      <c r="M64">
        <v>5</v>
      </c>
      <c r="N64">
        <v>0.83455882352941202</v>
      </c>
      <c r="O64">
        <v>7.1953781512604995E-2</v>
      </c>
      <c r="P64">
        <v>4.1491596638655502E-2</v>
      </c>
      <c r="Q64">
        <v>2.46848739495798E-2</v>
      </c>
      <c r="R64">
        <v>2.04831932773109E-2</v>
      </c>
      <c r="S64">
        <v>4.20168067226891E-3</v>
      </c>
      <c r="T64">
        <v>2.62605042016807E-3</v>
      </c>
      <c r="U64">
        <v>0.43492063492063499</v>
      </c>
      <c r="V64">
        <v>0.25079365079365101</v>
      </c>
      <c r="W64">
        <v>0.14920634920634901</v>
      </c>
      <c r="X64">
        <v>0.12380952380952399</v>
      </c>
      <c r="Y64">
        <v>2.53968253968254E-2</v>
      </c>
      <c r="Z64">
        <v>1.58730158730159E-2</v>
      </c>
      <c r="AA64">
        <v>137</v>
      </c>
      <c r="AB64">
        <v>191</v>
      </c>
      <c r="AC64">
        <v>247</v>
      </c>
      <c r="AD64">
        <v>364</v>
      </c>
      <c r="AE64">
        <v>133</v>
      </c>
      <c r="AF64">
        <v>124</v>
      </c>
      <c r="AG64">
        <v>0.628151260504202</v>
      </c>
      <c r="AH64">
        <v>3.7968253968254002</v>
      </c>
      <c r="AI64">
        <v>315</v>
      </c>
      <c r="AJ64">
        <v>16.544117647058801</v>
      </c>
      <c r="AK64">
        <v>461</v>
      </c>
      <c r="AL64">
        <v>446</v>
      </c>
      <c r="AM64">
        <v>434</v>
      </c>
      <c r="AN64">
        <v>0.94199999999999995</v>
      </c>
      <c r="AO64">
        <v>31</v>
      </c>
      <c r="AP64">
        <v>8.6503688702444705</v>
      </c>
    </row>
    <row r="65" spans="1:42" x14ac:dyDescent="0.35">
      <c r="A65" s="1">
        <v>45658</v>
      </c>
      <c r="B65" t="s">
        <v>1</v>
      </c>
      <c r="C65">
        <v>1292</v>
      </c>
      <c r="D65">
        <v>1496</v>
      </c>
      <c r="E65">
        <v>0.82198142414860698</v>
      </c>
      <c r="F65">
        <v>0.178018575851393</v>
      </c>
      <c r="G65">
        <v>1062</v>
      </c>
      <c r="H65">
        <v>49</v>
      </c>
      <c r="I65">
        <v>44</v>
      </c>
      <c r="J65">
        <v>49</v>
      </c>
      <c r="K65">
        <v>59</v>
      </c>
      <c r="L65">
        <v>20</v>
      </c>
      <c r="M65">
        <v>9</v>
      </c>
      <c r="N65">
        <v>0.82198142414860698</v>
      </c>
      <c r="O65">
        <v>3.7925696594427197E-2</v>
      </c>
      <c r="P65">
        <v>3.4055727554179599E-2</v>
      </c>
      <c r="Q65">
        <v>3.7925696594427197E-2</v>
      </c>
      <c r="R65">
        <v>4.5665634674922601E-2</v>
      </c>
      <c r="S65">
        <v>1.54798761609907E-2</v>
      </c>
      <c r="T65">
        <v>6.9659442724458202E-3</v>
      </c>
      <c r="U65">
        <v>0.21304347826087</v>
      </c>
      <c r="V65">
        <v>0.19130434782608699</v>
      </c>
      <c r="W65">
        <v>0.21304347826087</v>
      </c>
      <c r="X65">
        <v>0.25652173913043502</v>
      </c>
      <c r="Y65">
        <v>8.6956521739130405E-2</v>
      </c>
      <c r="Z65">
        <v>3.9130434782608699E-2</v>
      </c>
      <c r="AA65">
        <v>49</v>
      </c>
      <c r="AB65">
        <v>107</v>
      </c>
      <c r="AC65">
        <v>237</v>
      </c>
      <c r="AD65">
        <v>535</v>
      </c>
      <c r="AE65">
        <v>320</v>
      </c>
      <c r="AF65">
        <v>248</v>
      </c>
      <c r="AG65">
        <v>1.15789473684211</v>
      </c>
      <c r="AH65">
        <v>6.5043478260869598</v>
      </c>
      <c r="AI65">
        <v>230</v>
      </c>
      <c r="AJ65">
        <v>17.801857585139299</v>
      </c>
      <c r="AK65">
        <v>396</v>
      </c>
      <c r="AL65">
        <v>381</v>
      </c>
      <c r="AM65">
        <v>377</v>
      </c>
      <c r="AN65">
        <v>0.95199999999999996</v>
      </c>
      <c r="AO65">
        <v>31</v>
      </c>
      <c r="AP65">
        <v>12.6661586656507</v>
      </c>
    </row>
    <row r="66" spans="1:42" x14ac:dyDescent="0.35">
      <c r="A66" s="1">
        <v>45658</v>
      </c>
      <c r="B66" t="s">
        <v>5</v>
      </c>
      <c r="C66">
        <v>1323</v>
      </c>
      <c r="D66">
        <v>4227</v>
      </c>
      <c r="E66">
        <v>0.52532123960695398</v>
      </c>
      <c r="F66">
        <v>0.47467876039304602</v>
      </c>
      <c r="G66">
        <v>695</v>
      </c>
      <c r="H66">
        <v>132</v>
      </c>
      <c r="I66">
        <v>180</v>
      </c>
      <c r="J66">
        <v>138</v>
      </c>
      <c r="K66">
        <v>93</v>
      </c>
      <c r="L66">
        <v>39</v>
      </c>
      <c r="M66">
        <v>46</v>
      </c>
      <c r="N66">
        <v>0.52532123960695398</v>
      </c>
      <c r="O66">
        <v>9.9773242630385506E-2</v>
      </c>
      <c r="P66">
        <v>0.136054421768707</v>
      </c>
      <c r="Q66">
        <v>0.104308390022676</v>
      </c>
      <c r="R66">
        <v>7.0294784580498898E-2</v>
      </c>
      <c r="S66">
        <v>2.9478458049886601E-2</v>
      </c>
      <c r="T66">
        <v>3.4769463340891898E-2</v>
      </c>
      <c r="U66">
        <v>0.210191082802548</v>
      </c>
      <c r="V66">
        <v>0.28662420382165599</v>
      </c>
      <c r="W66">
        <v>0.21974522292993601</v>
      </c>
      <c r="X66">
        <v>0.14808917197452201</v>
      </c>
      <c r="Y66">
        <v>6.2101910828025499E-2</v>
      </c>
      <c r="Z66">
        <v>7.32484076433121E-2</v>
      </c>
      <c r="AA66">
        <v>132</v>
      </c>
      <c r="AB66">
        <v>433</v>
      </c>
      <c r="AC66">
        <v>681</v>
      </c>
      <c r="AD66">
        <v>896</v>
      </c>
      <c r="AE66">
        <v>680</v>
      </c>
      <c r="AF66">
        <v>1405</v>
      </c>
      <c r="AG66">
        <v>3.1950113378684799</v>
      </c>
      <c r="AH66">
        <v>6.7308917197452196</v>
      </c>
      <c r="AI66">
        <v>628</v>
      </c>
      <c r="AJ66">
        <v>47.467876039304599</v>
      </c>
      <c r="AK66">
        <v>410</v>
      </c>
      <c r="AL66">
        <v>410</v>
      </c>
      <c r="AM66">
        <v>406</v>
      </c>
      <c r="AN66">
        <v>0.98899999999999999</v>
      </c>
      <c r="AO66">
        <v>31</v>
      </c>
      <c r="AP66">
        <v>33.257277734067699</v>
      </c>
    </row>
    <row r="67" spans="1:42" x14ac:dyDescent="0.35">
      <c r="A67" s="1">
        <v>45658</v>
      </c>
      <c r="B67" t="s">
        <v>6</v>
      </c>
      <c r="C67">
        <v>4142</v>
      </c>
      <c r="D67">
        <v>4639</v>
      </c>
      <c r="E67">
        <v>0.88821825205214899</v>
      </c>
      <c r="F67">
        <v>0.11178174794785101</v>
      </c>
      <c r="G67">
        <v>3679</v>
      </c>
      <c r="H67">
        <v>73</v>
      </c>
      <c r="I67">
        <v>71</v>
      </c>
      <c r="J67">
        <v>82</v>
      </c>
      <c r="K67">
        <v>126</v>
      </c>
      <c r="L67">
        <v>53</v>
      </c>
      <c r="M67">
        <v>58</v>
      </c>
      <c r="N67">
        <v>0.88821825205214899</v>
      </c>
      <c r="O67">
        <v>1.76243360695316E-2</v>
      </c>
      <c r="P67">
        <v>1.71414775470787E-2</v>
      </c>
      <c r="Q67">
        <v>1.9797199420569799E-2</v>
      </c>
      <c r="R67">
        <v>3.0420086914534E-2</v>
      </c>
      <c r="S67">
        <v>1.2795750845002399E-2</v>
      </c>
      <c r="T67">
        <v>1.4002897151134701E-2</v>
      </c>
      <c r="U67">
        <v>0.15766738660907101</v>
      </c>
      <c r="V67">
        <v>0.153347732181425</v>
      </c>
      <c r="W67">
        <v>0.177105831533477</v>
      </c>
      <c r="X67">
        <v>0.27213822894168499</v>
      </c>
      <c r="Y67">
        <v>0.114470842332613</v>
      </c>
      <c r="Z67">
        <v>0.12526997840172799</v>
      </c>
      <c r="AA67">
        <v>73</v>
      </c>
      <c r="AB67">
        <v>173</v>
      </c>
      <c r="AC67">
        <v>413</v>
      </c>
      <c r="AD67">
        <v>1161</v>
      </c>
      <c r="AE67">
        <v>887</v>
      </c>
      <c r="AF67">
        <v>1932</v>
      </c>
      <c r="AG67">
        <v>1.1199903428295499</v>
      </c>
      <c r="AH67">
        <v>10.0194384449244</v>
      </c>
      <c r="AI67">
        <v>463</v>
      </c>
      <c r="AJ67">
        <v>11.1781747947851</v>
      </c>
      <c r="AK67">
        <v>856</v>
      </c>
      <c r="AL67">
        <v>796</v>
      </c>
      <c r="AM67">
        <v>769</v>
      </c>
      <c r="AN67">
        <v>0.89800000000000002</v>
      </c>
      <c r="AO67">
        <v>31</v>
      </c>
      <c r="AP67">
        <v>18.799643378181202</v>
      </c>
    </row>
    <row r="68" spans="1:42" x14ac:dyDescent="0.35">
      <c r="A68" s="1">
        <v>45658</v>
      </c>
      <c r="B68" t="s">
        <v>2</v>
      </c>
      <c r="C68">
        <v>4358</v>
      </c>
      <c r="D68">
        <v>6103</v>
      </c>
      <c r="E68">
        <v>0.83226250573657601</v>
      </c>
      <c r="F68">
        <v>0.16773749426342399</v>
      </c>
      <c r="G68">
        <v>3627</v>
      </c>
      <c r="H68">
        <v>201</v>
      </c>
      <c r="I68">
        <v>163</v>
      </c>
      <c r="J68">
        <v>133</v>
      </c>
      <c r="K68">
        <v>117</v>
      </c>
      <c r="L68">
        <v>46</v>
      </c>
      <c r="M68">
        <v>71</v>
      </c>
      <c r="N68">
        <v>0.83226250573657601</v>
      </c>
      <c r="O68">
        <v>4.6122074346030301E-2</v>
      </c>
      <c r="P68">
        <v>3.7402478201009601E-2</v>
      </c>
      <c r="Q68">
        <v>3.05185865075723E-2</v>
      </c>
      <c r="R68">
        <v>2.6847177604405699E-2</v>
      </c>
      <c r="S68">
        <v>1.05553005966039E-2</v>
      </c>
      <c r="T68">
        <v>1.62918770078017E-2</v>
      </c>
      <c r="U68">
        <v>0.27496580027359802</v>
      </c>
      <c r="V68">
        <v>0.22298221614227101</v>
      </c>
      <c r="W68">
        <v>0.181942544459644</v>
      </c>
      <c r="X68">
        <v>0.16005471956224401</v>
      </c>
      <c r="Y68">
        <v>6.2927496580027401E-2</v>
      </c>
      <c r="Z68">
        <v>9.7127222982216099E-2</v>
      </c>
      <c r="AA68">
        <v>201</v>
      </c>
      <c r="AB68">
        <v>395</v>
      </c>
      <c r="AC68">
        <v>659</v>
      </c>
      <c r="AD68">
        <v>1046</v>
      </c>
      <c r="AE68">
        <v>760</v>
      </c>
      <c r="AF68">
        <v>3042</v>
      </c>
      <c r="AG68">
        <v>1.4004130335016101</v>
      </c>
      <c r="AH68">
        <v>8.3488372093023298</v>
      </c>
      <c r="AI68">
        <v>731</v>
      </c>
      <c r="AJ68">
        <v>16.773749426342398</v>
      </c>
      <c r="AK68">
        <v>1622</v>
      </c>
      <c r="AL68">
        <v>1622</v>
      </c>
      <c r="AM68">
        <v>1575</v>
      </c>
      <c r="AN68">
        <v>0.97099999999999997</v>
      </c>
      <c r="AO68">
        <v>31</v>
      </c>
      <c r="AP68">
        <v>12.137544250427601</v>
      </c>
    </row>
    <row r="69" spans="1:42" x14ac:dyDescent="0.35">
      <c r="A69" s="1">
        <v>45658</v>
      </c>
      <c r="B69" t="s">
        <v>4</v>
      </c>
      <c r="C69">
        <v>1710</v>
      </c>
      <c r="D69">
        <v>836</v>
      </c>
      <c r="E69">
        <v>0.84970760233918097</v>
      </c>
      <c r="F69">
        <v>0.150292397660819</v>
      </c>
      <c r="G69">
        <v>1453</v>
      </c>
      <c r="H69">
        <v>152</v>
      </c>
      <c r="I69">
        <v>61</v>
      </c>
      <c r="J69">
        <v>21</v>
      </c>
      <c r="K69">
        <v>18</v>
      </c>
      <c r="L69">
        <v>3</v>
      </c>
      <c r="M69">
        <v>2</v>
      </c>
      <c r="N69">
        <v>0.84970760233918097</v>
      </c>
      <c r="O69">
        <v>8.8888888888888906E-2</v>
      </c>
      <c r="P69">
        <v>3.5672514619883001E-2</v>
      </c>
      <c r="Q69">
        <v>1.2280701754386E-2</v>
      </c>
      <c r="R69">
        <v>1.05263157894737E-2</v>
      </c>
      <c r="S69">
        <v>1.7543859649122801E-3</v>
      </c>
      <c r="T69">
        <v>1.1695906432748499E-3</v>
      </c>
      <c r="U69">
        <v>0.59143968871595298</v>
      </c>
      <c r="V69">
        <v>0.237354085603113</v>
      </c>
      <c r="W69">
        <v>8.1712062256809298E-2</v>
      </c>
      <c r="X69">
        <v>7.0038910505836605E-2</v>
      </c>
      <c r="Y69">
        <v>1.1673151750972799E-2</v>
      </c>
      <c r="Z69">
        <v>7.7821011673151804E-3</v>
      </c>
      <c r="AA69">
        <v>152</v>
      </c>
      <c r="AB69">
        <v>145</v>
      </c>
      <c r="AC69">
        <v>103</v>
      </c>
      <c r="AD69">
        <v>161</v>
      </c>
      <c r="AE69">
        <v>45</v>
      </c>
      <c r="AF69">
        <v>230</v>
      </c>
      <c r="AG69">
        <v>0.48888888888888898</v>
      </c>
      <c r="AH69">
        <v>3.2529182879377401</v>
      </c>
      <c r="AI69">
        <v>257</v>
      </c>
      <c r="AJ69">
        <v>15.029239766081901</v>
      </c>
      <c r="AK69">
        <v>427</v>
      </c>
      <c r="AL69">
        <v>410</v>
      </c>
      <c r="AM69">
        <v>390</v>
      </c>
      <c r="AN69">
        <v>0.91400000000000003</v>
      </c>
      <c r="AO69">
        <v>31</v>
      </c>
      <c r="AP69">
        <v>6.5774980330448498</v>
      </c>
    </row>
    <row r="70" spans="1:42" x14ac:dyDescent="0.35">
      <c r="A70" s="1">
        <v>45658</v>
      </c>
      <c r="B70" t="s">
        <v>0</v>
      </c>
      <c r="C70">
        <v>2057</v>
      </c>
      <c r="D70">
        <v>1654</v>
      </c>
      <c r="E70">
        <v>0.86339329120077801</v>
      </c>
      <c r="F70">
        <v>0.13660670879922199</v>
      </c>
      <c r="G70">
        <v>1776</v>
      </c>
      <c r="H70">
        <v>50</v>
      </c>
      <c r="I70">
        <v>87</v>
      </c>
      <c r="J70">
        <v>68</v>
      </c>
      <c r="K70">
        <v>50</v>
      </c>
      <c r="L70">
        <v>12</v>
      </c>
      <c r="M70">
        <v>14</v>
      </c>
      <c r="N70">
        <v>0.86339329120077801</v>
      </c>
      <c r="O70">
        <v>2.4307243558580501E-2</v>
      </c>
      <c r="P70">
        <v>4.2294603791930001E-2</v>
      </c>
      <c r="Q70">
        <v>3.3057851239669402E-2</v>
      </c>
      <c r="R70">
        <v>2.4307243558580501E-2</v>
      </c>
      <c r="S70">
        <v>5.8337384540593099E-3</v>
      </c>
      <c r="T70">
        <v>6.8060281964025301E-3</v>
      </c>
      <c r="U70">
        <v>0.17793594306049801</v>
      </c>
      <c r="V70">
        <v>0.30960854092526702</v>
      </c>
      <c r="W70">
        <v>0.24199288256227799</v>
      </c>
      <c r="X70">
        <v>0.17793594306049801</v>
      </c>
      <c r="Y70">
        <v>4.2704626334519602E-2</v>
      </c>
      <c r="Z70">
        <v>4.9822064056939501E-2</v>
      </c>
      <c r="AA70">
        <v>50</v>
      </c>
      <c r="AB70">
        <v>210</v>
      </c>
      <c r="AC70">
        <v>320</v>
      </c>
      <c r="AD70">
        <v>493</v>
      </c>
      <c r="AE70">
        <v>181</v>
      </c>
      <c r="AF70">
        <v>400</v>
      </c>
      <c r="AG70">
        <v>0.80408361691784103</v>
      </c>
      <c r="AH70">
        <v>5.8861209964412797</v>
      </c>
      <c r="AI70">
        <v>281</v>
      </c>
      <c r="AJ70">
        <v>13.660670879922201</v>
      </c>
      <c r="AK70">
        <v>574</v>
      </c>
      <c r="AL70">
        <v>529</v>
      </c>
      <c r="AM70">
        <v>550</v>
      </c>
      <c r="AN70">
        <v>0.95699999999999996</v>
      </c>
      <c r="AO70">
        <v>31</v>
      </c>
      <c r="AP70">
        <v>10.085980852491</v>
      </c>
    </row>
    <row r="71" spans="1:42" x14ac:dyDescent="0.35">
      <c r="A71" s="1">
        <v>45658</v>
      </c>
      <c r="B71" t="s">
        <v>3</v>
      </c>
      <c r="C71">
        <v>1916</v>
      </c>
      <c r="D71">
        <v>1574</v>
      </c>
      <c r="E71">
        <v>0.80845511482254695</v>
      </c>
      <c r="F71">
        <v>0.19154488517745299</v>
      </c>
      <c r="G71">
        <v>1549</v>
      </c>
      <c r="H71">
        <v>143</v>
      </c>
      <c r="I71">
        <v>97</v>
      </c>
      <c r="J71">
        <v>56</v>
      </c>
      <c r="K71">
        <v>50</v>
      </c>
      <c r="L71">
        <v>12</v>
      </c>
      <c r="M71">
        <v>9</v>
      </c>
      <c r="N71">
        <v>0.80845511482254695</v>
      </c>
      <c r="O71">
        <v>7.4634655532359095E-2</v>
      </c>
      <c r="P71">
        <v>5.0626304801670102E-2</v>
      </c>
      <c r="Q71">
        <v>2.9227557411273499E-2</v>
      </c>
      <c r="R71">
        <v>2.60960334029228E-2</v>
      </c>
      <c r="S71">
        <v>6.2630480167014599E-3</v>
      </c>
      <c r="T71">
        <v>4.6972860125261001E-3</v>
      </c>
      <c r="U71">
        <v>0.38964577656675697</v>
      </c>
      <c r="V71">
        <v>0.26430517711171703</v>
      </c>
      <c r="W71">
        <v>0.15258855585831099</v>
      </c>
      <c r="X71">
        <v>0.13623978201634901</v>
      </c>
      <c r="Y71">
        <v>3.2697547683923703E-2</v>
      </c>
      <c r="Z71">
        <v>2.4523160762942801E-2</v>
      </c>
      <c r="AA71">
        <v>143</v>
      </c>
      <c r="AB71">
        <v>224</v>
      </c>
      <c r="AC71">
        <v>268</v>
      </c>
      <c r="AD71">
        <v>458</v>
      </c>
      <c r="AE71">
        <v>182</v>
      </c>
      <c r="AF71">
        <v>299</v>
      </c>
      <c r="AG71">
        <v>0.821503131524008</v>
      </c>
      <c r="AH71">
        <v>4.2888283378746603</v>
      </c>
      <c r="AI71">
        <v>367</v>
      </c>
      <c r="AJ71">
        <v>19.1544885177453</v>
      </c>
      <c r="AK71">
        <v>486</v>
      </c>
      <c r="AL71">
        <v>470</v>
      </c>
      <c r="AM71">
        <v>459</v>
      </c>
      <c r="AN71">
        <v>0.94499999999999995</v>
      </c>
      <c r="AO71">
        <v>31</v>
      </c>
      <c r="AP71">
        <v>10.8030199039121</v>
      </c>
    </row>
    <row r="72" spans="1:42" x14ac:dyDescent="0.35">
      <c r="A72" s="1">
        <v>45689</v>
      </c>
      <c r="B72" t="s">
        <v>1</v>
      </c>
      <c r="C72">
        <v>1150</v>
      </c>
      <c r="D72">
        <v>1204</v>
      </c>
      <c r="E72">
        <v>0.84434782608695702</v>
      </c>
      <c r="F72">
        <v>0.15565217391304301</v>
      </c>
      <c r="G72">
        <v>971</v>
      </c>
      <c r="H72">
        <v>51</v>
      </c>
      <c r="I72">
        <v>36</v>
      </c>
      <c r="J72">
        <v>20</v>
      </c>
      <c r="K72">
        <v>43</v>
      </c>
      <c r="L72">
        <v>16</v>
      </c>
      <c r="M72">
        <v>13</v>
      </c>
      <c r="N72">
        <v>0.84434782608695702</v>
      </c>
      <c r="O72">
        <v>4.4347826086956497E-2</v>
      </c>
      <c r="P72">
        <v>3.1304347826087001E-2</v>
      </c>
      <c r="Q72">
        <v>1.7391304347826101E-2</v>
      </c>
      <c r="R72">
        <v>3.7391304347826101E-2</v>
      </c>
      <c r="S72">
        <v>1.39130434782609E-2</v>
      </c>
      <c r="T72">
        <v>1.1304347826087E-2</v>
      </c>
      <c r="U72">
        <v>0.28491620111731802</v>
      </c>
      <c r="V72">
        <v>0.20111731843575401</v>
      </c>
      <c r="W72">
        <v>0.111731843575419</v>
      </c>
      <c r="X72">
        <v>0.240223463687151</v>
      </c>
      <c r="Y72">
        <v>8.9385474860335198E-2</v>
      </c>
      <c r="Z72">
        <v>7.2625698324022395E-2</v>
      </c>
      <c r="AA72">
        <v>51</v>
      </c>
      <c r="AB72">
        <v>85</v>
      </c>
      <c r="AC72">
        <v>98</v>
      </c>
      <c r="AD72">
        <v>384</v>
      </c>
      <c r="AE72">
        <v>252</v>
      </c>
      <c r="AF72">
        <v>334</v>
      </c>
      <c r="AG72">
        <v>1.0469565217391299</v>
      </c>
      <c r="AH72">
        <v>6.7262569832402201</v>
      </c>
      <c r="AI72">
        <v>179</v>
      </c>
      <c r="AJ72">
        <v>15.5652173913043</v>
      </c>
      <c r="AK72">
        <v>383</v>
      </c>
      <c r="AL72">
        <v>367</v>
      </c>
      <c r="AM72">
        <v>364</v>
      </c>
      <c r="AN72">
        <v>0.95099999999999996</v>
      </c>
      <c r="AO72">
        <v>28</v>
      </c>
      <c r="AP72">
        <v>11.716621253406</v>
      </c>
    </row>
    <row r="73" spans="1:42" x14ac:dyDescent="0.35">
      <c r="A73" s="1">
        <v>45689</v>
      </c>
      <c r="B73" t="s">
        <v>5</v>
      </c>
      <c r="C73">
        <v>1223</v>
      </c>
      <c r="D73">
        <v>3551</v>
      </c>
      <c r="E73">
        <v>0.55928045789043301</v>
      </c>
      <c r="F73">
        <v>0.44071954210956699</v>
      </c>
      <c r="G73">
        <v>684</v>
      </c>
      <c r="H73">
        <v>123</v>
      </c>
      <c r="I73">
        <v>136</v>
      </c>
      <c r="J73">
        <v>112</v>
      </c>
      <c r="K73">
        <v>94</v>
      </c>
      <c r="L73">
        <v>37</v>
      </c>
      <c r="M73">
        <v>37</v>
      </c>
      <c r="N73">
        <v>0.55928045789043301</v>
      </c>
      <c r="O73">
        <v>0.100572363041701</v>
      </c>
      <c r="P73">
        <v>0.111201962387572</v>
      </c>
      <c r="Q73">
        <v>9.1578086672117698E-2</v>
      </c>
      <c r="R73">
        <v>7.6860179885527402E-2</v>
      </c>
      <c r="S73">
        <v>3.02534750613246E-2</v>
      </c>
      <c r="T73">
        <v>3.02534750613246E-2</v>
      </c>
      <c r="U73">
        <v>0.22820037105751401</v>
      </c>
      <c r="V73">
        <v>0.25231910946196701</v>
      </c>
      <c r="W73">
        <v>0.207792207792208</v>
      </c>
      <c r="X73">
        <v>0.174397031539889</v>
      </c>
      <c r="Y73">
        <v>6.8645640074211506E-2</v>
      </c>
      <c r="Z73">
        <v>6.8645640074211506E-2</v>
      </c>
      <c r="AA73">
        <v>123</v>
      </c>
      <c r="AB73">
        <v>329</v>
      </c>
      <c r="AC73">
        <v>534</v>
      </c>
      <c r="AD73">
        <v>904</v>
      </c>
      <c r="AE73">
        <v>603</v>
      </c>
      <c r="AF73">
        <v>1058</v>
      </c>
      <c r="AG73">
        <v>2.9035159443990199</v>
      </c>
      <c r="AH73">
        <v>6.5881261595547302</v>
      </c>
      <c r="AI73">
        <v>539</v>
      </c>
      <c r="AJ73">
        <v>44.071954210956697</v>
      </c>
      <c r="AK73">
        <v>411</v>
      </c>
      <c r="AL73">
        <v>411</v>
      </c>
      <c r="AM73">
        <v>405</v>
      </c>
      <c r="AN73">
        <v>0.98599999999999999</v>
      </c>
      <c r="AO73">
        <v>28</v>
      </c>
      <c r="AP73">
        <v>30.856795272853699</v>
      </c>
    </row>
    <row r="74" spans="1:42" x14ac:dyDescent="0.35">
      <c r="A74" s="1">
        <v>45689</v>
      </c>
      <c r="B74" t="s">
        <v>6</v>
      </c>
      <c r="C74">
        <v>3770</v>
      </c>
      <c r="D74">
        <v>4250</v>
      </c>
      <c r="E74">
        <v>0.89602122015915098</v>
      </c>
      <c r="F74">
        <v>0.10397877984084899</v>
      </c>
      <c r="G74">
        <v>3378</v>
      </c>
      <c r="H74">
        <v>54</v>
      </c>
      <c r="I74">
        <v>51</v>
      </c>
      <c r="J74">
        <v>69</v>
      </c>
      <c r="K74">
        <v>118</v>
      </c>
      <c r="L74">
        <v>44</v>
      </c>
      <c r="M74">
        <v>56</v>
      </c>
      <c r="N74">
        <v>0.89602122015915098</v>
      </c>
      <c r="O74">
        <v>1.43236074270557E-2</v>
      </c>
      <c r="P74">
        <v>1.35278514588859E-2</v>
      </c>
      <c r="Q74">
        <v>1.83023872679045E-2</v>
      </c>
      <c r="R74">
        <v>3.1299734748010601E-2</v>
      </c>
      <c r="S74">
        <v>1.16710875331565E-2</v>
      </c>
      <c r="T74">
        <v>1.48541114058355E-2</v>
      </c>
      <c r="U74">
        <v>0.13775510204081601</v>
      </c>
      <c r="V74">
        <v>0.13010204081632701</v>
      </c>
      <c r="W74">
        <v>0.176020408163265</v>
      </c>
      <c r="X74">
        <v>0.30102040816326497</v>
      </c>
      <c r="Y74">
        <v>0.11224489795918401</v>
      </c>
      <c r="Z74">
        <v>0.14285714285714299</v>
      </c>
      <c r="AA74">
        <v>54</v>
      </c>
      <c r="AB74">
        <v>124</v>
      </c>
      <c r="AC74">
        <v>341</v>
      </c>
      <c r="AD74">
        <v>1139</v>
      </c>
      <c r="AE74">
        <v>723</v>
      </c>
      <c r="AF74">
        <v>1869</v>
      </c>
      <c r="AG74">
        <v>1.1273209549071601</v>
      </c>
      <c r="AH74">
        <v>10.841836734693899</v>
      </c>
      <c r="AI74">
        <v>392</v>
      </c>
      <c r="AJ74">
        <v>10.3978779840849</v>
      </c>
      <c r="AK74">
        <v>861</v>
      </c>
      <c r="AL74">
        <v>801</v>
      </c>
      <c r="AM74">
        <v>776</v>
      </c>
      <c r="AN74">
        <v>0.9</v>
      </c>
      <c r="AO74">
        <v>28</v>
      </c>
      <c r="AP74">
        <v>18.949527376493698</v>
      </c>
    </row>
    <row r="75" spans="1:42" x14ac:dyDescent="0.35">
      <c r="A75" s="1">
        <v>45689</v>
      </c>
      <c r="B75" t="s">
        <v>2</v>
      </c>
      <c r="C75">
        <v>4171</v>
      </c>
      <c r="D75">
        <v>5047</v>
      </c>
      <c r="E75">
        <v>0.85351234715895496</v>
      </c>
      <c r="F75">
        <v>0.14648765284104501</v>
      </c>
      <c r="G75">
        <v>3560</v>
      </c>
      <c r="H75">
        <v>176</v>
      </c>
      <c r="I75">
        <v>128</v>
      </c>
      <c r="J75">
        <v>83</v>
      </c>
      <c r="K75">
        <v>128</v>
      </c>
      <c r="L75">
        <v>39</v>
      </c>
      <c r="M75">
        <v>57</v>
      </c>
      <c r="N75">
        <v>0.85351234715895496</v>
      </c>
      <c r="O75">
        <v>4.2196116039319102E-2</v>
      </c>
      <c r="P75">
        <v>3.0688084392232098E-2</v>
      </c>
      <c r="Q75">
        <v>1.9899304723087999E-2</v>
      </c>
      <c r="R75">
        <v>3.0688084392232098E-2</v>
      </c>
      <c r="S75">
        <v>9.3502757132582093E-3</v>
      </c>
      <c r="T75">
        <v>1.36657875809158E-2</v>
      </c>
      <c r="U75">
        <v>0.28805237315875598</v>
      </c>
      <c r="V75">
        <v>0.20949263502455001</v>
      </c>
      <c r="W75">
        <v>0.135842880523732</v>
      </c>
      <c r="X75">
        <v>0.20949263502455001</v>
      </c>
      <c r="Y75">
        <v>6.3829787234042507E-2</v>
      </c>
      <c r="Z75">
        <v>9.3289689034369905E-2</v>
      </c>
      <c r="AA75">
        <v>176</v>
      </c>
      <c r="AB75">
        <v>314</v>
      </c>
      <c r="AC75">
        <v>400</v>
      </c>
      <c r="AD75">
        <v>1164</v>
      </c>
      <c r="AE75">
        <v>641</v>
      </c>
      <c r="AF75">
        <v>2352</v>
      </c>
      <c r="AG75">
        <v>1.2100215775593399</v>
      </c>
      <c r="AH75">
        <v>8.2602291325695596</v>
      </c>
      <c r="AI75">
        <v>611</v>
      </c>
      <c r="AJ75">
        <v>14.648765284104501</v>
      </c>
      <c r="AK75">
        <v>1621</v>
      </c>
      <c r="AL75">
        <v>1621</v>
      </c>
      <c r="AM75">
        <v>1583</v>
      </c>
      <c r="AN75">
        <v>0.97599999999999998</v>
      </c>
      <c r="AO75">
        <v>28</v>
      </c>
      <c r="AP75">
        <v>11.119679210364</v>
      </c>
    </row>
    <row r="76" spans="1:42" x14ac:dyDescent="0.35">
      <c r="A76" s="1">
        <v>45689</v>
      </c>
      <c r="B76" t="s">
        <v>4</v>
      </c>
      <c r="C76">
        <v>1648</v>
      </c>
      <c r="D76">
        <v>709</v>
      </c>
      <c r="E76">
        <v>0.875</v>
      </c>
      <c r="F76">
        <v>0.125</v>
      </c>
      <c r="G76">
        <v>1442</v>
      </c>
      <c r="H76">
        <v>105</v>
      </c>
      <c r="I76">
        <v>55</v>
      </c>
      <c r="J76">
        <v>21</v>
      </c>
      <c r="K76">
        <v>15</v>
      </c>
      <c r="L76">
        <v>6</v>
      </c>
      <c r="M76">
        <v>4</v>
      </c>
      <c r="N76">
        <v>0.875</v>
      </c>
      <c r="O76">
        <v>6.3713592233009694E-2</v>
      </c>
      <c r="P76">
        <v>3.3373786407767003E-2</v>
      </c>
      <c r="Q76">
        <v>1.27427184466019E-2</v>
      </c>
      <c r="R76">
        <v>9.1019417475728098E-3</v>
      </c>
      <c r="S76">
        <v>3.6407766990291298E-3</v>
      </c>
      <c r="T76">
        <v>2.4271844660194199E-3</v>
      </c>
      <c r="U76">
        <v>0.509708737864078</v>
      </c>
      <c r="V76">
        <v>0.26699029126213603</v>
      </c>
      <c r="W76">
        <v>0.101941747572816</v>
      </c>
      <c r="X76">
        <v>7.2815533980582506E-2</v>
      </c>
      <c r="Y76">
        <v>2.9126213592233E-2</v>
      </c>
      <c r="Z76">
        <v>1.94174757281553E-2</v>
      </c>
      <c r="AA76">
        <v>105</v>
      </c>
      <c r="AB76">
        <v>127</v>
      </c>
      <c r="AC76">
        <v>92</v>
      </c>
      <c r="AD76">
        <v>140</v>
      </c>
      <c r="AE76">
        <v>116</v>
      </c>
      <c r="AF76">
        <v>129</v>
      </c>
      <c r="AG76">
        <v>0.43021844660194197</v>
      </c>
      <c r="AH76">
        <v>3.44174757281553</v>
      </c>
      <c r="AI76">
        <v>206</v>
      </c>
      <c r="AJ76">
        <v>12.5</v>
      </c>
      <c r="AK76">
        <v>403</v>
      </c>
      <c r="AL76">
        <v>387</v>
      </c>
      <c r="AM76">
        <v>386</v>
      </c>
      <c r="AN76">
        <v>0.95799999999999996</v>
      </c>
      <c r="AO76">
        <v>28</v>
      </c>
      <c r="AP76">
        <v>6.5430047988187496</v>
      </c>
    </row>
    <row r="77" spans="1:42" x14ac:dyDescent="0.35">
      <c r="A77" s="1">
        <v>45689</v>
      </c>
      <c r="B77" t="s">
        <v>0</v>
      </c>
      <c r="C77">
        <v>1750</v>
      </c>
      <c r="D77">
        <v>1241</v>
      </c>
      <c r="E77">
        <v>0.88114285714285701</v>
      </c>
      <c r="F77">
        <v>0.11885714285714299</v>
      </c>
      <c r="G77">
        <v>1542</v>
      </c>
      <c r="H77">
        <v>47</v>
      </c>
      <c r="I77">
        <v>53</v>
      </c>
      <c r="J77">
        <v>38</v>
      </c>
      <c r="K77">
        <v>49</v>
      </c>
      <c r="L77">
        <v>13</v>
      </c>
      <c r="M77">
        <v>8</v>
      </c>
      <c r="N77">
        <v>0.88114285714285701</v>
      </c>
      <c r="O77">
        <v>2.6857142857142899E-2</v>
      </c>
      <c r="P77">
        <v>3.0285714285714301E-2</v>
      </c>
      <c r="Q77">
        <v>2.17142857142857E-2</v>
      </c>
      <c r="R77">
        <v>2.8000000000000001E-2</v>
      </c>
      <c r="S77">
        <v>7.4285714285714302E-3</v>
      </c>
      <c r="T77">
        <v>4.57142857142857E-3</v>
      </c>
      <c r="U77">
        <v>0.22596153846153799</v>
      </c>
      <c r="V77">
        <v>0.25480769230769201</v>
      </c>
      <c r="W77">
        <v>0.18269230769230799</v>
      </c>
      <c r="X77">
        <v>0.23557692307692299</v>
      </c>
      <c r="Y77">
        <v>6.25E-2</v>
      </c>
      <c r="Z77">
        <v>3.8461538461538498E-2</v>
      </c>
      <c r="AA77">
        <v>47</v>
      </c>
      <c r="AB77">
        <v>130</v>
      </c>
      <c r="AC77">
        <v>192</v>
      </c>
      <c r="AD77">
        <v>449</v>
      </c>
      <c r="AE77">
        <v>217</v>
      </c>
      <c r="AF77">
        <v>206</v>
      </c>
      <c r="AG77">
        <v>0.70914285714285696</v>
      </c>
      <c r="AH77">
        <v>5.9663461538461497</v>
      </c>
      <c r="AI77">
        <v>208</v>
      </c>
      <c r="AJ77">
        <v>11.8857142857143</v>
      </c>
      <c r="AK77">
        <v>572</v>
      </c>
      <c r="AL77">
        <v>527</v>
      </c>
      <c r="AM77">
        <v>548</v>
      </c>
      <c r="AN77">
        <v>0.95799999999999996</v>
      </c>
      <c r="AO77">
        <v>28</v>
      </c>
      <c r="AP77">
        <v>8.4101382488479306</v>
      </c>
    </row>
    <row r="78" spans="1:42" x14ac:dyDescent="0.35">
      <c r="A78" s="1">
        <v>45689</v>
      </c>
      <c r="B78" t="s">
        <v>3</v>
      </c>
      <c r="C78">
        <v>1730</v>
      </c>
      <c r="D78">
        <v>1379</v>
      </c>
      <c r="E78">
        <v>0.79710982658959495</v>
      </c>
      <c r="F78">
        <v>0.20289017341040499</v>
      </c>
      <c r="G78">
        <v>1379</v>
      </c>
      <c r="H78">
        <v>130</v>
      </c>
      <c r="I78">
        <v>102</v>
      </c>
      <c r="J78">
        <v>60</v>
      </c>
      <c r="K78">
        <v>48</v>
      </c>
      <c r="L78">
        <v>5</v>
      </c>
      <c r="M78">
        <v>6</v>
      </c>
      <c r="N78">
        <v>0.79710982658959495</v>
      </c>
      <c r="O78">
        <v>7.5144508670520194E-2</v>
      </c>
      <c r="P78">
        <v>5.8959537572254299E-2</v>
      </c>
      <c r="Q78">
        <v>3.4682080924855502E-2</v>
      </c>
      <c r="R78">
        <v>2.77456647398844E-2</v>
      </c>
      <c r="S78">
        <v>2.8901734104046198E-3</v>
      </c>
      <c r="T78">
        <v>3.46820809248555E-3</v>
      </c>
      <c r="U78">
        <v>0.37037037037037002</v>
      </c>
      <c r="V78">
        <v>0.29059829059829101</v>
      </c>
      <c r="W78">
        <v>0.170940170940171</v>
      </c>
      <c r="X78">
        <v>0.13675213675213699</v>
      </c>
      <c r="Y78">
        <v>1.42450142450142E-2</v>
      </c>
      <c r="Z78">
        <v>1.7094017094017099E-2</v>
      </c>
      <c r="AA78">
        <v>130</v>
      </c>
      <c r="AB78">
        <v>248</v>
      </c>
      <c r="AC78">
        <v>292</v>
      </c>
      <c r="AD78">
        <v>421</v>
      </c>
      <c r="AE78">
        <v>89</v>
      </c>
      <c r="AF78">
        <v>199</v>
      </c>
      <c r="AG78">
        <v>0.79710982658959495</v>
      </c>
      <c r="AH78">
        <v>3.9287749287749301</v>
      </c>
      <c r="AI78">
        <v>351</v>
      </c>
      <c r="AJ78">
        <v>20.289017341040498</v>
      </c>
      <c r="AK78">
        <v>472</v>
      </c>
      <c r="AL78">
        <v>457</v>
      </c>
      <c r="AM78">
        <v>444</v>
      </c>
      <c r="AN78">
        <v>0.94</v>
      </c>
      <c r="AO78">
        <v>28</v>
      </c>
      <c r="AP78">
        <v>10.7768052516411</v>
      </c>
    </row>
    <row r="79" spans="1:42" x14ac:dyDescent="0.35">
      <c r="A79" s="1">
        <v>45717</v>
      </c>
      <c r="B79" t="s">
        <v>1</v>
      </c>
      <c r="C79">
        <v>1285</v>
      </c>
      <c r="D79">
        <v>1529</v>
      </c>
      <c r="E79">
        <v>0.84046692607003903</v>
      </c>
      <c r="F79">
        <v>0.15953307392996099</v>
      </c>
      <c r="G79">
        <v>1080</v>
      </c>
      <c r="H79">
        <v>39</v>
      </c>
      <c r="I79">
        <v>44</v>
      </c>
      <c r="J79">
        <v>32</v>
      </c>
      <c r="K79">
        <v>53</v>
      </c>
      <c r="L79">
        <v>22</v>
      </c>
      <c r="M79">
        <v>15</v>
      </c>
      <c r="N79">
        <v>0.84046692607003903</v>
      </c>
      <c r="O79">
        <v>3.03501945525292E-2</v>
      </c>
      <c r="P79">
        <v>3.4241245136186801E-2</v>
      </c>
      <c r="Q79">
        <v>2.49027237354086E-2</v>
      </c>
      <c r="R79">
        <v>4.1245136186770399E-2</v>
      </c>
      <c r="S79">
        <v>1.7120622568093401E-2</v>
      </c>
      <c r="T79">
        <v>1.1673151750972799E-2</v>
      </c>
      <c r="U79">
        <v>0.190243902439024</v>
      </c>
      <c r="V79">
        <v>0.21463414634146299</v>
      </c>
      <c r="W79">
        <v>0.15609756097561001</v>
      </c>
      <c r="X79">
        <v>0.258536585365854</v>
      </c>
      <c r="Y79">
        <v>0.107317073170732</v>
      </c>
      <c r="Z79">
        <v>7.3170731707317097E-2</v>
      </c>
      <c r="AA79">
        <v>39</v>
      </c>
      <c r="AB79">
        <v>104</v>
      </c>
      <c r="AC79">
        <v>158</v>
      </c>
      <c r="AD79">
        <v>491</v>
      </c>
      <c r="AE79">
        <v>358</v>
      </c>
      <c r="AF79">
        <v>379</v>
      </c>
      <c r="AG79">
        <v>1.18988326848249</v>
      </c>
      <c r="AH79">
        <v>7.4585365853658496</v>
      </c>
      <c r="AI79">
        <v>205</v>
      </c>
      <c r="AJ79">
        <v>15.9533073929961</v>
      </c>
      <c r="AK79">
        <v>372</v>
      </c>
      <c r="AL79">
        <v>357</v>
      </c>
      <c r="AM79">
        <v>349</v>
      </c>
      <c r="AN79">
        <v>0.93799999999999994</v>
      </c>
      <c r="AO79">
        <v>31</v>
      </c>
      <c r="AP79">
        <v>13.815848920213201</v>
      </c>
    </row>
    <row r="80" spans="1:42" x14ac:dyDescent="0.35">
      <c r="A80" s="1">
        <v>45717</v>
      </c>
      <c r="B80" t="s">
        <v>5</v>
      </c>
      <c r="C80">
        <v>1304</v>
      </c>
      <c r="D80">
        <v>4051</v>
      </c>
      <c r="E80">
        <v>0.50920245398773001</v>
      </c>
      <c r="F80">
        <v>0.49079754601226999</v>
      </c>
      <c r="G80">
        <v>664</v>
      </c>
      <c r="H80">
        <v>176</v>
      </c>
      <c r="I80">
        <v>142</v>
      </c>
      <c r="J80">
        <v>134</v>
      </c>
      <c r="K80">
        <v>112</v>
      </c>
      <c r="L80">
        <v>39</v>
      </c>
      <c r="M80">
        <v>37</v>
      </c>
      <c r="N80">
        <v>0.50920245398773001</v>
      </c>
      <c r="O80">
        <v>0.13496932515337401</v>
      </c>
      <c r="P80">
        <v>0.108895705521472</v>
      </c>
      <c r="Q80">
        <v>0.10276073619631899</v>
      </c>
      <c r="R80">
        <v>8.5889570552147201E-2</v>
      </c>
      <c r="S80">
        <v>2.99079754601227E-2</v>
      </c>
      <c r="T80">
        <v>2.83742331288344E-2</v>
      </c>
      <c r="U80">
        <v>0.27500000000000002</v>
      </c>
      <c r="V80">
        <v>0.22187499999999999</v>
      </c>
      <c r="W80">
        <v>0.20937500000000001</v>
      </c>
      <c r="X80">
        <v>0.17499999999999999</v>
      </c>
      <c r="Y80">
        <v>6.0937499999999999E-2</v>
      </c>
      <c r="Z80">
        <v>5.7812500000000003E-2</v>
      </c>
      <c r="AA80">
        <v>176</v>
      </c>
      <c r="AB80">
        <v>343</v>
      </c>
      <c r="AC80">
        <v>650</v>
      </c>
      <c r="AD80">
        <v>1040</v>
      </c>
      <c r="AE80">
        <v>660</v>
      </c>
      <c r="AF80">
        <v>1182</v>
      </c>
      <c r="AG80">
        <v>3.10659509202454</v>
      </c>
      <c r="AH80">
        <v>6.3296875000000004</v>
      </c>
      <c r="AI80">
        <v>640</v>
      </c>
      <c r="AJ80">
        <v>49.079754601227002</v>
      </c>
      <c r="AK80">
        <v>404</v>
      </c>
      <c r="AL80">
        <v>404</v>
      </c>
      <c r="AM80">
        <v>397</v>
      </c>
      <c r="AN80">
        <v>0.98399999999999999</v>
      </c>
      <c r="AO80">
        <v>31</v>
      </c>
      <c r="AP80">
        <v>32.3458958799106</v>
      </c>
    </row>
    <row r="81" spans="1:42" x14ac:dyDescent="0.35">
      <c r="A81" s="1">
        <v>45717</v>
      </c>
      <c r="B81" t="s">
        <v>6</v>
      </c>
      <c r="C81">
        <v>4297</v>
      </c>
      <c r="D81">
        <v>3639</v>
      </c>
      <c r="E81">
        <v>0.91645333953921304</v>
      </c>
      <c r="F81">
        <v>8.3546660460786598E-2</v>
      </c>
      <c r="G81">
        <v>3938</v>
      </c>
      <c r="H81">
        <v>60</v>
      </c>
      <c r="I81">
        <v>59</v>
      </c>
      <c r="J81">
        <v>64</v>
      </c>
      <c r="K81">
        <v>82</v>
      </c>
      <c r="L81">
        <v>43</v>
      </c>
      <c r="M81">
        <v>51</v>
      </c>
      <c r="N81">
        <v>0.91645333953921304</v>
      </c>
      <c r="O81">
        <v>1.39632301605771E-2</v>
      </c>
      <c r="P81">
        <v>1.3730509657900901E-2</v>
      </c>
      <c r="Q81">
        <v>1.48941121712823E-2</v>
      </c>
      <c r="R81">
        <v>1.90830812194554E-2</v>
      </c>
      <c r="S81">
        <v>1.0006981615080301E-2</v>
      </c>
      <c r="T81">
        <v>1.18687456364906E-2</v>
      </c>
      <c r="U81">
        <v>0.16713091922005599</v>
      </c>
      <c r="V81">
        <v>0.16434540389972099</v>
      </c>
      <c r="W81">
        <v>0.17827298050139301</v>
      </c>
      <c r="X81">
        <v>0.22841225626740899</v>
      </c>
      <c r="Y81">
        <v>0.119777158774373</v>
      </c>
      <c r="Z81">
        <v>0.14206128133704701</v>
      </c>
      <c r="AA81">
        <v>60</v>
      </c>
      <c r="AB81">
        <v>142</v>
      </c>
      <c r="AC81">
        <v>320</v>
      </c>
      <c r="AD81">
        <v>774</v>
      </c>
      <c r="AE81">
        <v>689</v>
      </c>
      <c r="AF81">
        <v>1654</v>
      </c>
      <c r="AG81">
        <v>0.84686990923900396</v>
      </c>
      <c r="AH81">
        <v>10.136490250696401</v>
      </c>
      <c r="AI81">
        <v>359</v>
      </c>
      <c r="AJ81">
        <v>8.3546660460786608</v>
      </c>
      <c r="AK81">
        <v>857</v>
      </c>
      <c r="AL81">
        <v>797</v>
      </c>
      <c r="AM81">
        <v>773</v>
      </c>
      <c r="AN81">
        <v>0.90300000000000002</v>
      </c>
      <c r="AO81">
        <v>31</v>
      </c>
      <c r="AP81">
        <v>14.728619419597701</v>
      </c>
    </row>
    <row r="82" spans="1:42" x14ac:dyDescent="0.35">
      <c r="A82" s="1">
        <v>45717</v>
      </c>
      <c r="B82" t="s">
        <v>2</v>
      </c>
      <c r="C82">
        <v>4634</v>
      </c>
      <c r="D82">
        <v>6155</v>
      </c>
      <c r="E82">
        <v>0.850884764782046</v>
      </c>
      <c r="F82">
        <v>0.149115235217954</v>
      </c>
      <c r="G82">
        <v>3943</v>
      </c>
      <c r="H82">
        <v>178</v>
      </c>
      <c r="I82">
        <v>141</v>
      </c>
      <c r="J82">
        <v>121</v>
      </c>
      <c r="K82">
        <v>136</v>
      </c>
      <c r="L82">
        <v>41</v>
      </c>
      <c r="M82">
        <v>74</v>
      </c>
      <c r="N82">
        <v>0.850884764782046</v>
      </c>
      <c r="O82">
        <v>3.8411739318083699E-2</v>
      </c>
      <c r="P82">
        <v>3.0427276650841599E-2</v>
      </c>
      <c r="Q82">
        <v>2.6111350884764802E-2</v>
      </c>
      <c r="R82">
        <v>2.93482952093224E-2</v>
      </c>
      <c r="S82">
        <v>8.8476478204574903E-3</v>
      </c>
      <c r="T82">
        <v>1.5968925334484199E-2</v>
      </c>
      <c r="U82">
        <v>0.25759768451519499</v>
      </c>
      <c r="V82">
        <v>0.20405209840810401</v>
      </c>
      <c r="W82">
        <v>0.175108538350217</v>
      </c>
      <c r="X82">
        <v>0.19681620839363201</v>
      </c>
      <c r="Y82">
        <v>5.9334298118668603E-2</v>
      </c>
      <c r="Z82">
        <v>0.107091172214182</v>
      </c>
      <c r="AA82">
        <v>178</v>
      </c>
      <c r="AB82">
        <v>335</v>
      </c>
      <c r="AC82">
        <v>598</v>
      </c>
      <c r="AD82">
        <v>1228</v>
      </c>
      <c r="AE82">
        <v>690</v>
      </c>
      <c r="AF82">
        <v>3126</v>
      </c>
      <c r="AG82">
        <v>1.3282261545101399</v>
      </c>
      <c r="AH82">
        <v>8.9073806078147602</v>
      </c>
      <c r="AI82">
        <v>691</v>
      </c>
      <c r="AJ82">
        <v>14.911523521795401</v>
      </c>
      <c r="AK82">
        <v>1609</v>
      </c>
      <c r="AL82">
        <v>1609</v>
      </c>
      <c r="AM82">
        <v>1552</v>
      </c>
      <c r="AN82">
        <v>0.96399999999999997</v>
      </c>
      <c r="AO82">
        <v>31</v>
      </c>
      <c r="AP82">
        <v>12.339862467170599</v>
      </c>
    </row>
    <row r="83" spans="1:42" x14ac:dyDescent="0.35">
      <c r="A83" s="1">
        <v>45717</v>
      </c>
      <c r="B83" t="s">
        <v>4</v>
      </c>
      <c r="C83">
        <v>1830</v>
      </c>
      <c r="D83">
        <v>523</v>
      </c>
      <c r="E83">
        <v>0.88688524590163897</v>
      </c>
      <c r="F83">
        <v>0.113114754098361</v>
      </c>
      <c r="G83">
        <v>1623</v>
      </c>
      <c r="H83">
        <v>107</v>
      </c>
      <c r="I83">
        <v>67</v>
      </c>
      <c r="J83">
        <v>16</v>
      </c>
      <c r="K83">
        <v>14</v>
      </c>
      <c r="L83">
        <v>2</v>
      </c>
      <c r="M83">
        <v>1</v>
      </c>
      <c r="N83">
        <v>0.88688524590163897</v>
      </c>
      <c r="O83">
        <v>5.8469945355191302E-2</v>
      </c>
      <c r="P83">
        <v>3.6612021857923498E-2</v>
      </c>
      <c r="Q83">
        <v>8.7431693989071003E-3</v>
      </c>
      <c r="R83">
        <v>7.6502732240437202E-3</v>
      </c>
      <c r="S83">
        <v>1.0928961748633899E-3</v>
      </c>
      <c r="T83">
        <v>5.4644808743169399E-4</v>
      </c>
      <c r="U83">
        <v>0.51690821256038599</v>
      </c>
      <c r="V83">
        <v>0.323671497584541</v>
      </c>
      <c r="W83">
        <v>7.7294685990338202E-2</v>
      </c>
      <c r="X83">
        <v>6.7632850241545903E-2</v>
      </c>
      <c r="Y83">
        <v>9.6618357487922701E-3</v>
      </c>
      <c r="Z83">
        <v>4.8309178743961402E-3</v>
      </c>
      <c r="AA83">
        <v>107</v>
      </c>
      <c r="AB83">
        <v>154</v>
      </c>
      <c r="AC83">
        <v>75</v>
      </c>
      <c r="AD83">
        <v>133</v>
      </c>
      <c r="AE83">
        <v>33</v>
      </c>
      <c r="AF83">
        <v>21</v>
      </c>
      <c r="AG83">
        <v>0.28579234972677597</v>
      </c>
      <c r="AH83">
        <v>2.5265700483091802</v>
      </c>
      <c r="AI83">
        <v>207</v>
      </c>
      <c r="AJ83">
        <v>11.311475409836101</v>
      </c>
      <c r="AK83">
        <v>418</v>
      </c>
      <c r="AL83">
        <v>401</v>
      </c>
      <c r="AM83">
        <v>409</v>
      </c>
      <c r="AN83">
        <v>0.97899999999999998</v>
      </c>
      <c r="AO83">
        <v>31</v>
      </c>
      <c r="AP83">
        <v>4.2072238757943898</v>
      </c>
    </row>
    <row r="84" spans="1:42" x14ac:dyDescent="0.35">
      <c r="A84" s="1">
        <v>45717</v>
      </c>
      <c r="B84" t="s">
        <v>0</v>
      </c>
      <c r="C84">
        <v>2005</v>
      </c>
      <c r="D84">
        <v>1373</v>
      </c>
      <c r="E84">
        <v>0.88578553615960098</v>
      </c>
      <c r="F84">
        <v>0.114214463840399</v>
      </c>
      <c r="G84">
        <v>1776</v>
      </c>
      <c r="H84">
        <v>37</v>
      </c>
      <c r="I84">
        <v>67</v>
      </c>
      <c r="J84">
        <v>51</v>
      </c>
      <c r="K84">
        <v>52</v>
      </c>
      <c r="L84">
        <v>14</v>
      </c>
      <c r="M84">
        <v>8</v>
      </c>
      <c r="N84">
        <v>0.88578553615960098</v>
      </c>
      <c r="O84">
        <v>1.8453865336658399E-2</v>
      </c>
      <c r="P84">
        <v>3.34164588528678E-2</v>
      </c>
      <c r="Q84">
        <v>2.5436408977556099E-2</v>
      </c>
      <c r="R84">
        <v>2.5935162094763101E-2</v>
      </c>
      <c r="S84">
        <v>6.9825436408977601E-3</v>
      </c>
      <c r="T84">
        <v>3.9900249376558601E-3</v>
      </c>
      <c r="U84">
        <v>0.16157205240174699</v>
      </c>
      <c r="V84">
        <v>0.29257641921397398</v>
      </c>
      <c r="W84">
        <v>0.22270742358078599</v>
      </c>
      <c r="X84">
        <v>0.22707423580785999</v>
      </c>
      <c r="Y84">
        <v>6.1135371179039298E-2</v>
      </c>
      <c r="Z84">
        <v>3.4934497816593899E-2</v>
      </c>
      <c r="AA84">
        <v>37</v>
      </c>
      <c r="AB84">
        <v>161</v>
      </c>
      <c r="AC84">
        <v>248</v>
      </c>
      <c r="AD84">
        <v>483</v>
      </c>
      <c r="AE84">
        <v>221</v>
      </c>
      <c r="AF84">
        <v>223</v>
      </c>
      <c r="AG84">
        <v>0.68478802992518695</v>
      </c>
      <c r="AH84">
        <v>5.9956331877729303</v>
      </c>
      <c r="AI84">
        <v>229</v>
      </c>
      <c r="AJ84">
        <v>11.4214463840399</v>
      </c>
      <c r="AK84">
        <v>548</v>
      </c>
      <c r="AL84">
        <v>503</v>
      </c>
      <c r="AM84">
        <v>521</v>
      </c>
      <c r="AN84">
        <v>0.95099999999999996</v>
      </c>
      <c r="AO84">
        <v>31</v>
      </c>
      <c r="AP84">
        <v>8.8052331174244909</v>
      </c>
    </row>
    <row r="85" spans="1:42" x14ac:dyDescent="0.35">
      <c r="A85" s="1">
        <v>45717</v>
      </c>
      <c r="B85" t="s">
        <v>3</v>
      </c>
      <c r="C85">
        <v>2176</v>
      </c>
      <c r="D85">
        <v>1429</v>
      </c>
      <c r="E85">
        <v>0.83961397058823495</v>
      </c>
      <c r="F85">
        <v>0.160386029411765</v>
      </c>
      <c r="G85">
        <v>1827</v>
      </c>
      <c r="H85">
        <v>133</v>
      </c>
      <c r="I85">
        <v>87</v>
      </c>
      <c r="J85">
        <v>65</v>
      </c>
      <c r="K85">
        <v>46</v>
      </c>
      <c r="L85">
        <v>13</v>
      </c>
      <c r="M85">
        <v>5</v>
      </c>
      <c r="N85">
        <v>0.83961397058823495</v>
      </c>
      <c r="O85">
        <v>6.1121323529411797E-2</v>
      </c>
      <c r="P85">
        <v>3.9981617647058799E-2</v>
      </c>
      <c r="Q85">
        <v>2.9871323529411801E-2</v>
      </c>
      <c r="R85">
        <v>2.1139705882352901E-2</v>
      </c>
      <c r="S85">
        <v>5.9742647058823499E-3</v>
      </c>
      <c r="T85">
        <v>2.2977941176470602E-3</v>
      </c>
      <c r="U85">
        <v>0.38108882521490001</v>
      </c>
      <c r="V85">
        <v>0.24928366762177701</v>
      </c>
      <c r="W85">
        <v>0.18624641833810901</v>
      </c>
      <c r="X85">
        <v>0.131805157593123</v>
      </c>
      <c r="Y85">
        <v>3.7249283667621799E-2</v>
      </c>
      <c r="Z85">
        <v>1.4326647564469899E-2</v>
      </c>
      <c r="AA85">
        <v>133</v>
      </c>
      <c r="AB85">
        <v>212</v>
      </c>
      <c r="AC85">
        <v>312</v>
      </c>
      <c r="AD85">
        <v>424</v>
      </c>
      <c r="AE85">
        <v>208</v>
      </c>
      <c r="AF85">
        <v>140</v>
      </c>
      <c r="AG85">
        <v>0.65670955882352899</v>
      </c>
      <c r="AH85">
        <v>4.0945558739254997</v>
      </c>
      <c r="AI85">
        <v>349</v>
      </c>
      <c r="AJ85">
        <v>16.038602941176499</v>
      </c>
      <c r="AK85">
        <v>471</v>
      </c>
      <c r="AL85">
        <v>455</v>
      </c>
      <c r="AM85">
        <v>439</v>
      </c>
      <c r="AN85">
        <v>0.93300000000000005</v>
      </c>
      <c r="AO85">
        <v>31</v>
      </c>
      <c r="AP85">
        <v>10.1311591634172</v>
      </c>
    </row>
    <row r="86" spans="1:42" x14ac:dyDescent="0.35">
      <c r="A86" s="1">
        <v>45748</v>
      </c>
      <c r="B86" t="s">
        <v>1</v>
      </c>
      <c r="C86">
        <v>1296</v>
      </c>
      <c r="D86">
        <v>1457</v>
      </c>
      <c r="E86">
        <v>0.844135802469136</v>
      </c>
      <c r="F86">
        <v>0.155864197530864</v>
      </c>
      <c r="G86">
        <v>1094</v>
      </c>
      <c r="H86">
        <v>48</v>
      </c>
      <c r="I86">
        <v>37</v>
      </c>
      <c r="J86">
        <v>26</v>
      </c>
      <c r="K86">
        <v>62</v>
      </c>
      <c r="L86">
        <v>20</v>
      </c>
      <c r="M86">
        <v>9</v>
      </c>
      <c r="N86">
        <v>0.844135802469136</v>
      </c>
      <c r="O86">
        <v>3.7037037037037E-2</v>
      </c>
      <c r="P86">
        <v>2.8549382716049398E-2</v>
      </c>
      <c r="Q86">
        <v>2.00617283950617E-2</v>
      </c>
      <c r="R86">
        <v>4.7839506172839497E-2</v>
      </c>
      <c r="S86">
        <v>1.54320987654321E-2</v>
      </c>
      <c r="T86">
        <v>6.9444444444444397E-3</v>
      </c>
      <c r="U86">
        <v>0.237623762376238</v>
      </c>
      <c r="V86">
        <v>0.183168316831683</v>
      </c>
      <c r="W86">
        <v>0.12871287128712899</v>
      </c>
      <c r="X86">
        <v>0.30693069306930698</v>
      </c>
      <c r="Y86">
        <v>9.9009900990099001E-2</v>
      </c>
      <c r="Z86">
        <v>4.4554455445544601E-2</v>
      </c>
      <c r="AA86">
        <v>48</v>
      </c>
      <c r="AB86">
        <v>86</v>
      </c>
      <c r="AC86">
        <v>125</v>
      </c>
      <c r="AD86">
        <v>582</v>
      </c>
      <c r="AE86">
        <v>308</v>
      </c>
      <c r="AF86">
        <v>308</v>
      </c>
      <c r="AG86">
        <v>1.12422839506173</v>
      </c>
      <c r="AH86">
        <v>7.21287128712871</v>
      </c>
      <c r="AI86">
        <v>202</v>
      </c>
      <c r="AJ86">
        <v>15.5864197530864</v>
      </c>
      <c r="AK86">
        <v>365</v>
      </c>
      <c r="AL86">
        <v>350</v>
      </c>
      <c r="AM86">
        <v>339</v>
      </c>
      <c r="AN86">
        <v>0.92700000000000005</v>
      </c>
      <c r="AO86">
        <v>30</v>
      </c>
      <c r="AP86">
        <v>13.8761904761905</v>
      </c>
    </row>
    <row r="87" spans="1:42" x14ac:dyDescent="0.35">
      <c r="A87" s="1">
        <v>45748</v>
      </c>
      <c r="B87" t="s">
        <v>5</v>
      </c>
      <c r="C87">
        <v>1340</v>
      </c>
      <c r="D87">
        <v>3881</v>
      </c>
      <c r="E87">
        <v>0.55149253731343295</v>
      </c>
      <c r="F87">
        <v>0.44850746268656699</v>
      </c>
      <c r="G87">
        <v>739</v>
      </c>
      <c r="H87">
        <v>145</v>
      </c>
      <c r="I87">
        <v>163</v>
      </c>
      <c r="J87">
        <v>122</v>
      </c>
      <c r="K87">
        <v>88</v>
      </c>
      <c r="L87">
        <v>45</v>
      </c>
      <c r="M87">
        <v>38</v>
      </c>
      <c r="N87">
        <v>0.55149253731343295</v>
      </c>
      <c r="O87">
        <v>0.10820895522388101</v>
      </c>
      <c r="P87">
        <v>0.121641791044776</v>
      </c>
      <c r="Q87">
        <v>9.1044776119402995E-2</v>
      </c>
      <c r="R87">
        <v>6.5671641791044802E-2</v>
      </c>
      <c r="S87">
        <v>3.3582089552238799E-2</v>
      </c>
      <c r="T87">
        <v>2.8358208955223899E-2</v>
      </c>
      <c r="U87">
        <v>0.24126455906822</v>
      </c>
      <c r="V87">
        <v>0.27121464226289499</v>
      </c>
      <c r="W87">
        <v>0.20299500831946801</v>
      </c>
      <c r="X87">
        <v>0.14642262895174701</v>
      </c>
      <c r="Y87">
        <v>7.4875207986688896E-2</v>
      </c>
      <c r="Z87">
        <v>6.3227953410981697E-2</v>
      </c>
      <c r="AA87">
        <v>145</v>
      </c>
      <c r="AB87">
        <v>399</v>
      </c>
      <c r="AC87">
        <v>585</v>
      </c>
      <c r="AD87">
        <v>842</v>
      </c>
      <c r="AE87">
        <v>753</v>
      </c>
      <c r="AF87">
        <v>1157</v>
      </c>
      <c r="AG87">
        <v>2.89626865671642</v>
      </c>
      <c r="AH87">
        <v>6.4575707154742101</v>
      </c>
      <c r="AI87">
        <v>601</v>
      </c>
      <c r="AJ87">
        <v>44.8507462686567</v>
      </c>
      <c r="AK87">
        <v>397</v>
      </c>
      <c r="AL87">
        <v>397</v>
      </c>
      <c r="AM87">
        <v>388</v>
      </c>
      <c r="AN87">
        <v>0.97699999999999998</v>
      </c>
      <c r="AO87">
        <v>30</v>
      </c>
      <c r="AP87">
        <v>32.586062132661603</v>
      </c>
    </row>
    <row r="88" spans="1:42" x14ac:dyDescent="0.35">
      <c r="A88" s="1">
        <v>45748</v>
      </c>
      <c r="B88" t="s">
        <v>6</v>
      </c>
      <c r="C88">
        <v>4097</v>
      </c>
      <c r="D88">
        <v>3965</v>
      </c>
      <c r="E88">
        <v>0.907249206736637</v>
      </c>
      <c r="F88">
        <v>9.2750793263363399E-2</v>
      </c>
      <c r="G88">
        <v>3717</v>
      </c>
      <c r="H88">
        <v>48</v>
      </c>
      <c r="I88">
        <v>48</v>
      </c>
      <c r="J88">
        <v>90</v>
      </c>
      <c r="K88">
        <v>103</v>
      </c>
      <c r="L88">
        <v>39</v>
      </c>
      <c r="M88">
        <v>52</v>
      </c>
      <c r="N88">
        <v>0.907249206736637</v>
      </c>
      <c r="O88">
        <v>1.1715889675372199E-2</v>
      </c>
      <c r="P88">
        <v>1.1715889675372199E-2</v>
      </c>
      <c r="Q88">
        <v>2.19672931413229E-2</v>
      </c>
      <c r="R88">
        <v>2.5140346595069599E-2</v>
      </c>
      <c r="S88">
        <v>9.5191603612399308E-3</v>
      </c>
      <c r="T88">
        <v>1.26922138149866E-2</v>
      </c>
      <c r="U88">
        <v>0.12631578947368399</v>
      </c>
      <c r="V88">
        <v>0.12631578947368399</v>
      </c>
      <c r="W88">
        <v>0.23684210526315799</v>
      </c>
      <c r="X88">
        <v>0.27105263157894699</v>
      </c>
      <c r="Y88">
        <v>0.102631578947368</v>
      </c>
      <c r="Z88">
        <v>0.13684210526315799</v>
      </c>
      <c r="AA88">
        <v>48</v>
      </c>
      <c r="AB88">
        <v>115</v>
      </c>
      <c r="AC88">
        <v>465</v>
      </c>
      <c r="AD88">
        <v>1004</v>
      </c>
      <c r="AE88">
        <v>622</v>
      </c>
      <c r="AF88">
        <v>1711</v>
      </c>
      <c r="AG88">
        <v>0.96778130339272594</v>
      </c>
      <c r="AH88">
        <v>10.4342105263158</v>
      </c>
      <c r="AI88">
        <v>380</v>
      </c>
      <c r="AJ88">
        <v>9.2750793263363391</v>
      </c>
      <c r="AK88">
        <v>852</v>
      </c>
      <c r="AL88">
        <v>792</v>
      </c>
      <c r="AM88">
        <v>772</v>
      </c>
      <c r="AN88">
        <v>0.90600000000000003</v>
      </c>
      <c r="AO88">
        <v>30</v>
      </c>
      <c r="AP88">
        <v>16.6877104377104</v>
      </c>
    </row>
    <row r="89" spans="1:42" x14ac:dyDescent="0.35">
      <c r="A89" s="1">
        <v>45748</v>
      </c>
      <c r="B89" t="s">
        <v>2</v>
      </c>
      <c r="C89">
        <v>4613</v>
      </c>
      <c r="D89">
        <v>6209</v>
      </c>
      <c r="E89">
        <v>0.83633210492087595</v>
      </c>
      <c r="F89">
        <v>0.16366789507912399</v>
      </c>
      <c r="G89">
        <v>3858</v>
      </c>
      <c r="H89">
        <v>229</v>
      </c>
      <c r="I89">
        <v>149</v>
      </c>
      <c r="J89">
        <v>114</v>
      </c>
      <c r="K89">
        <v>143</v>
      </c>
      <c r="L89">
        <v>52</v>
      </c>
      <c r="M89">
        <v>68</v>
      </c>
      <c r="N89">
        <v>0.83633210492087595</v>
      </c>
      <c r="O89">
        <v>4.96423151961847E-2</v>
      </c>
      <c r="P89">
        <v>3.23000216778669E-2</v>
      </c>
      <c r="Q89">
        <v>2.4712768263602899E-2</v>
      </c>
      <c r="R89">
        <v>3.0999349663993099E-2</v>
      </c>
      <c r="S89">
        <v>1.12724907869066E-2</v>
      </c>
      <c r="T89">
        <v>1.47409494905701E-2</v>
      </c>
      <c r="U89">
        <v>0.30331125827814598</v>
      </c>
      <c r="V89">
        <v>0.19735099337748299</v>
      </c>
      <c r="W89">
        <v>0.15099337748344399</v>
      </c>
      <c r="X89">
        <v>0.18940397350993399</v>
      </c>
      <c r="Y89">
        <v>6.8874172185430502E-2</v>
      </c>
      <c r="Z89">
        <v>9.0066225165562896E-2</v>
      </c>
      <c r="AA89">
        <v>229</v>
      </c>
      <c r="AB89">
        <v>352</v>
      </c>
      <c r="AC89">
        <v>574</v>
      </c>
      <c r="AD89">
        <v>1306</v>
      </c>
      <c r="AE89">
        <v>842</v>
      </c>
      <c r="AF89">
        <v>2906</v>
      </c>
      <c r="AG89">
        <v>1.3459787556904399</v>
      </c>
      <c r="AH89">
        <v>8.2238410596026501</v>
      </c>
      <c r="AI89">
        <v>755</v>
      </c>
      <c r="AJ89">
        <v>16.366789507912401</v>
      </c>
      <c r="AK89">
        <v>1589</v>
      </c>
      <c r="AL89">
        <v>1589</v>
      </c>
      <c r="AM89">
        <v>1518</v>
      </c>
      <c r="AN89">
        <v>0.95599999999999996</v>
      </c>
      <c r="AO89">
        <v>30</v>
      </c>
      <c r="AP89">
        <v>13.0249632892805</v>
      </c>
    </row>
    <row r="90" spans="1:42" x14ac:dyDescent="0.35">
      <c r="A90" s="1">
        <v>45748</v>
      </c>
      <c r="B90" t="s">
        <v>4</v>
      </c>
      <c r="C90">
        <v>1730</v>
      </c>
      <c r="D90">
        <v>390</v>
      </c>
      <c r="E90">
        <v>0.89942196531791896</v>
      </c>
      <c r="F90">
        <v>0.100578034682081</v>
      </c>
      <c r="G90">
        <v>1556</v>
      </c>
      <c r="H90">
        <v>105</v>
      </c>
      <c r="I90">
        <v>41</v>
      </c>
      <c r="J90">
        <v>18</v>
      </c>
      <c r="K90">
        <v>8</v>
      </c>
      <c r="L90">
        <v>2</v>
      </c>
      <c r="M90">
        <v>0</v>
      </c>
      <c r="N90">
        <v>0.89942196531791896</v>
      </c>
      <c r="O90">
        <v>6.06936416184971E-2</v>
      </c>
      <c r="P90">
        <v>2.36994219653179E-2</v>
      </c>
      <c r="Q90">
        <v>1.0404624277456601E-2</v>
      </c>
      <c r="R90">
        <v>4.6242774566474E-3</v>
      </c>
      <c r="S90">
        <v>1.15606936416185E-3</v>
      </c>
      <c r="T90">
        <v>0</v>
      </c>
      <c r="U90">
        <v>0.60344827586206895</v>
      </c>
      <c r="V90">
        <v>0.23563218390804599</v>
      </c>
      <c r="W90">
        <v>0.10344827586206901</v>
      </c>
      <c r="X90">
        <v>4.5977011494252901E-2</v>
      </c>
      <c r="Y90">
        <v>1.1494252873563199E-2</v>
      </c>
      <c r="Z90">
        <v>0</v>
      </c>
      <c r="AA90">
        <v>105</v>
      </c>
      <c r="AB90">
        <v>95</v>
      </c>
      <c r="AC90">
        <v>82</v>
      </c>
      <c r="AD90">
        <v>73</v>
      </c>
      <c r="AE90">
        <v>35</v>
      </c>
      <c r="AF90">
        <v>0</v>
      </c>
      <c r="AG90">
        <v>0.225433526011561</v>
      </c>
      <c r="AH90">
        <v>2.2413793103448301</v>
      </c>
      <c r="AI90">
        <v>174</v>
      </c>
      <c r="AJ90">
        <v>10.0578034682081</v>
      </c>
      <c r="AK90">
        <v>401</v>
      </c>
      <c r="AL90">
        <v>385</v>
      </c>
      <c r="AM90">
        <v>383</v>
      </c>
      <c r="AN90">
        <v>0.95499999999999996</v>
      </c>
      <c r="AO90">
        <v>30</v>
      </c>
      <c r="AP90">
        <v>3.37662337662338</v>
      </c>
    </row>
    <row r="91" spans="1:42" x14ac:dyDescent="0.35">
      <c r="A91" s="1">
        <v>45748</v>
      </c>
      <c r="B91" t="s">
        <v>0</v>
      </c>
      <c r="C91">
        <v>1929</v>
      </c>
      <c r="D91">
        <v>1268</v>
      </c>
      <c r="E91">
        <v>0.88543286677034705</v>
      </c>
      <c r="F91">
        <v>0.11456713322965301</v>
      </c>
      <c r="G91">
        <v>1708</v>
      </c>
      <c r="H91">
        <v>53</v>
      </c>
      <c r="I91">
        <v>59</v>
      </c>
      <c r="J91">
        <v>43</v>
      </c>
      <c r="K91">
        <v>43</v>
      </c>
      <c r="L91">
        <v>13</v>
      </c>
      <c r="M91">
        <v>10</v>
      </c>
      <c r="N91">
        <v>0.88543286677034705</v>
      </c>
      <c r="O91">
        <v>2.7475375842405399E-2</v>
      </c>
      <c r="P91">
        <v>3.0585795749092801E-2</v>
      </c>
      <c r="Q91">
        <v>2.2291342664593101E-2</v>
      </c>
      <c r="R91">
        <v>2.2291342664593101E-2</v>
      </c>
      <c r="S91">
        <v>6.7392431311560398E-3</v>
      </c>
      <c r="T91">
        <v>5.1840331778123397E-3</v>
      </c>
      <c r="U91">
        <v>0.239819004524887</v>
      </c>
      <c r="V91">
        <v>0.26696832579185498</v>
      </c>
      <c r="W91">
        <v>0.194570135746606</v>
      </c>
      <c r="X91">
        <v>0.194570135746606</v>
      </c>
      <c r="Y91">
        <v>5.8823529411764698E-2</v>
      </c>
      <c r="Z91">
        <v>4.52488687782805E-2</v>
      </c>
      <c r="AA91">
        <v>53</v>
      </c>
      <c r="AB91">
        <v>139</v>
      </c>
      <c r="AC91">
        <v>210</v>
      </c>
      <c r="AD91">
        <v>411</v>
      </c>
      <c r="AE91">
        <v>205</v>
      </c>
      <c r="AF91">
        <v>250</v>
      </c>
      <c r="AG91">
        <v>0.65733540694660397</v>
      </c>
      <c r="AH91">
        <v>5.7375565610859702</v>
      </c>
      <c r="AI91">
        <v>221</v>
      </c>
      <c r="AJ91">
        <v>11.4567133229653</v>
      </c>
      <c r="AK91">
        <v>543</v>
      </c>
      <c r="AL91">
        <v>498</v>
      </c>
      <c r="AM91">
        <v>510</v>
      </c>
      <c r="AN91">
        <v>0.94</v>
      </c>
      <c r="AO91">
        <v>30</v>
      </c>
      <c r="AP91">
        <v>8.4872824631860802</v>
      </c>
    </row>
    <row r="92" spans="1:42" x14ac:dyDescent="0.35">
      <c r="A92" s="1">
        <v>45748</v>
      </c>
      <c r="B92" t="s">
        <v>3</v>
      </c>
      <c r="C92">
        <v>1977</v>
      </c>
      <c r="D92">
        <v>1232</v>
      </c>
      <c r="E92">
        <v>0.84066767830045497</v>
      </c>
      <c r="F92">
        <v>0.159332321699545</v>
      </c>
      <c r="G92">
        <v>1662</v>
      </c>
      <c r="H92">
        <v>110</v>
      </c>
      <c r="I92">
        <v>95</v>
      </c>
      <c r="J92">
        <v>61</v>
      </c>
      <c r="K92">
        <v>35</v>
      </c>
      <c r="L92">
        <v>9</v>
      </c>
      <c r="M92">
        <v>5</v>
      </c>
      <c r="N92">
        <v>0.84066767830045497</v>
      </c>
      <c r="O92">
        <v>5.5639858371269599E-2</v>
      </c>
      <c r="P92">
        <v>4.8052604957005599E-2</v>
      </c>
      <c r="Q92">
        <v>3.08548305513404E-2</v>
      </c>
      <c r="R92">
        <v>1.77035912999494E-2</v>
      </c>
      <c r="S92">
        <v>4.5523520485584203E-3</v>
      </c>
      <c r="T92">
        <v>2.5290844714213499E-3</v>
      </c>
      <c r="U92">
        <v>0.34920634920634902</v>
      </c>
      <c r="V92">
        <v>0.30158730158730201</v>
      </c>
      <c r="W92">
        <v>0.19365079365079399</v>
      </c>
      <c r="X92">
        <v>0.11111111111111099</v>
      </c>
      <c r="Y92">
        <v>2.8571428571428598E-2</v>
      </c>
      <c r="Z92">
        <v>1.58730158730159E-2</v>
      </c>
      <c r="AA92">
        <v>110</v>
      </c>
      <c r="AB92">
        <v>227</v>
      </c>
      <c r="AC92">
        <v>299</v>
      </c>
      <c r="AD92">
        <v>330</v>
      </c>
      <c r="AE92">
        <v>139</v>
      </c>
      <c r="AF92">
        <v>127</v>
      </c>
      <c r="AG92">
        <v>0.62316641375822002</v>
      </c>
      <c r="AH92">
        <v>3.9111111111111101</v>
      </c>
      <c r="AI92">
        <v>315</v>
      </c>
      <c r="AJ92">
        <v>15.933232169954501</v>
      </c>
      <c r="AK92">
        <v>455</v>
      </c>
      <c r="AL92">
        <v>440</v>
      </c>
      <c r="AM92">
        <v>410</v>
      </c>
      <c r="AN92">
        <v>0.9</v>
      </c>
      <c r="AO92">
        <v>30</v>
      </c>
      <c r="AP92">
        <v>9.3333333333333304</v>
      </c>
    </row>
    <row r="93" spans="1:42" x14ac:dyDescent="0.35">
      <c r="A93" s="1">
        <v>45778</v>
      </c>
      <c r="B93" t="s">
        <v>1</v>
      </c>
      <c r="C93">
        <v>1332</v>
      </c>
      <c r="D93">
        <v>1287</v>
      </c>
      <c r="E93">
        <v>0.83858858858858898</v>
      </c>
      <c r="F93">
        <v>0.16141141141141099</v>
      </c>
      <c r="G93">
        <v>1117</v>
      </c>
      <c r="H93">
        <v>60</v>
      </c>
      <c r="I93">
        <v>45</v>
      </c>
      <c r="J93">
        <v>37</v>
      </c>
      <c r="K93">
        <v>52</v>
      </c>
      <c r="L93">
        <v>11</v>
      </c>
      <c r="M93">
        <v>10</v>
      </c>
      <c r="N93">
        <v>0.83858858858858898</v>
      </c>
      <c r="O93">
        <v>4.5045045045045001E-2</v>
      </c>
      <c r="P93">
        <v>3.37837837837838E-2</v>
      </c>
      <c r="Q93">
        <v>2.7777777777777801E-2</v>
      </c>
      <c r="R93">
        <v>3.9039039039038999E-2</v>
      </c>
      <c r="S93">
        <v>8.2582582582582595E-3</v>
      </c>
      <c r="T93">
        <v>7.50750750750751E-3</v>
      </c>
      <c r="U93">
        <v>0.27906976744186002</v>
      </c>
      <c r="V93">
        <v>0.209302325581395</v>
      </c>
      <c r="W93">
        <v>0.17209302325581399</v>
      </c>
      <c r="X93">
        <v>0.24186046511627901</v>
      </c>
      <c r="Y93">
        <v>5.1162790697674397E-2</v>
      </c>
      <c r="Z93">
        <v>4.6511627906976702E-2</v>
      </c>
      <c r="AA93">
        <v>60</v>
      </c>
      <c r="AB93">
        <v>104</v>
      </c>
      <c r="AC93">
        <v>185</v>
      </c>
      <c r="AD93">
        <v>474</v>
      </c>
      <c r="AE93">
        <v>178</v>
      </c>
      <c r="AF93">
        <v>286</v>
      </c>
      <c r="AG93">
        <v>0.96621621621621601</v>
      </c>
      <c r="AH93">
        <v>5.9860465116279098</v>
      </c>
      <c r="AI93">
        <v>215</v>
      </c>
      <c r="AJ93">
        <v>16.141141141141102</v>
      </c>
      <c r="AK93">
        <v>365</v>
      </c>
      <c r="AL93">
        <v>350</v>
      </c>
      <c r="AM93">
        <v>340</v>
      </c>
      <c r="AN93">
        <v>0.93300000000000005</v>
      </c>
      <c r="AO93">
        <v>31</v>
      </c>
      <c r="AP93">
        <v>11.861751152073699</v>
      </c>
    </row>
    <row r="94" spans="1:42" x14ac:dyDescent="0.35">
      <c r="A94" s="1">
        <v>45778</v>
      </c>
      <c r="B94" t="s">
        <v>5</v>
      </c>
      <c r="C94">
        <v>1347</v>
      </c>
      <c r="D94">
        <v>3826</v>
      </c>
      <c r="E94">
        <v>0.57089829250185598</v>
      </c>
      <c r="F94">
        <v>0.42910170749814402</v>
      </c>
      <c r="G94">
        <v>769</v>
      </c>
      <c r="H94">
        <v>143</v>
      </c>
      <c r="I94">
        <v>156</v>
      </c>
      <c r="J94">
        <v>112</v>
      </c>
      <c r="K94">
        <v>93</v>
      </c>
      <c r="L94">
        <v>35</v>
      </c>
      <c r="M94">
        <v>39</v>
      </c>
      <c r="N94">
        <v>0.57089829250185598</v>
      </c>
      <c r="O94">
        <v>0.10616184112843401</v>
      </c>
      <c r="P94">
        <v>0.11581291759465499</v>
      </c>
      <c r="Q94">
        <v>8.3147735708982901E-2</v>
      </c>
      <c r="R94">
        <v>6.9042316258351902E-2</v>
      </c>
      <c r="S94">
        <v>2.59836674090572E-2</v>
      </c>
      <c r="T94">
        <v>2.89532293986637E-2</v>
      </c>
      <c r="U94">
        <v>0.24740484429065701</v>
      </c>
      <c r="V94">
        <v>0.26989619377162599</v>
      </c>
      <c r="W94">
        <v>0.19377162629757799</v>
      </c>
      <c r="X94">
        <v>0.160899653979239</v>
      </c>
      <c r="Y94">
        <v>6.0553633217993098E-2</v>
      </c>
      <c r="Z94">
        <v>6.7474048442906595E-2</v>
      </c>
      <c r="AA94">
        <v>143</v>
      </c>
      <c r="AB94">
        <v>373</v>
      </c>
      <c r="AC94">
        <v>568</v>
      </c>
      <c r="AD94">
        <v>881</v>
      </c>
      <c r="AE94">
        <v>581</v>
      </c>
      <c r="AF94">
        <v>1280</v>
      </c>
      <c r="AG94">
        <v>2.8403860430586501</v>
      </c>
      <c r="AH94">
        <v>6.6193771626297604</v>
      </c>
      <c r="AI94">
        <v>578</v>
      </c>
      <c r="AJ94">
        <v>42.910170749814398</v>
      </c>
      <c r="AK94">
        <v>381</v>
      </c>
      <c r="AL94">
        <v>381</v>
      </c>
      <c r="AM94">
        <v>374</v>
      </c>
      <c r="AN94">
        <v>0.98099999999999998</v>
      </c>
      <c r="AO94">
        <v>31</v>
      </c>
      <c r="AP94">
        <v>32.393531453729601</v>
      </c>
    </row>
    <row r="95" spans="1:42" x14ac:dyDescent="0.35">
      <c r="A95" s="1">
        <v>45778</v>
      </c>
      <c r="B95" t="s">
        <v>6</v>
      </c>
      <c r="C95">
        <v>4436</v>
      </c>
      <c r="D95">
        <v>3671</v>
      </c>
      <c r="E95">
        <v>0.90960324616771904</v>
      </c>
      <c r="F95">
        <v>9.0396753832281407E-2</v>
      </c>
      <c r="G95">
        <v>4035</v>
      </c>
      <c r="H95">
        <v>51</v>
      </c>
      <c r="I95">
        <v>77</v>
      </c>
      <c r="J95">
        <v>79</v>
      </c>
      <c r="K95">
        <v>116</v>
      </c>
      <c r="L95">
        <v>34</v>
      </c>
      <c r="M95">
        <v>44</v>
      </c>
      <c r="N95">
        <v>0.90960324616771904</v>
      </c>
      <c r="O95">
        <v>1.14968440036069E-2</v>
      </c>
      <c r="P95">
        <v>1.7357980162308401E-2</v>
      </c>
      <c r="Q95">
        <v>1.7808836789900799E-2</v>
      </c>
      <c r="R95">
        <v>2.6149684400360699E-2</v>
      </c>
      <c r="S95">
        <v>7.66456266907124E-3</v>
      </c>
      <c r="T95">
        <v>9.9188458070333593E-3</v>
      </c>
      <c r="U95">
        <v>0.12718204488778101</v>
      </c>
      <c r="V95">
        <v>0.192019950124688</v>
      </c>
      <c r="W95">
        <v>0.19700748129675799</v>
      </c>
      <c r="X95">
        <v>0.28927680798005001</v>
      </c>
      <c r="Y95">
        <v>8.4788029925186997E-2</v>
      </c>
      <c r="Z95">
        <v>0.109725685785536</v>
      </c>
      <c r="AA95">
        <v>51</v>
      </c>
      <c r="AB95">
        <v>194</v>
      </c>
      <c r="AC95">
        <v>389</v>
      </c>
      <c r="AD95">
        <v>1054</v>
      </c>
      <c r="AE95">
        <v>550</v>
      </c>
      <c r="AF95">
        <v>1433</v>
      </c>
      <c r="AG95">
        <v>0.82754733994589702</v>
      </c>
      <c r="AH95">
        <v>9.1546134663341707</v>
      </c>
      <c r="AI95">
        <v>401</v>
      </c>
      <c r="AJ95">
        <v>9.0396753832281291</v>
      </c>
      <c r="AK95">
        <v>861</v>
      </c>
      <c r="AL95">
        <v>801</v>
      </c>
      <c r="AM95">
        <v>772</v>
      </c>
      <c r="AN95">
        <v>0.89700000000000002</v>
      </c>
      <c r="AO95">
        <v>31</v>
      </c>
      <c r="AP95">
        <v>14.7839394305505</v>
      </c>
    </row>
    <row r="96" spans="1:42" x14ac:dyDescent="0.35">
      <c r="A96" s="1">
        <v>45778</v>
      </c>
      <c r="B96" t="s">
        <v>2</v>
      </c>
      <c r="C96">
        <v>4800</v>
      </c>
      <c r="D96">
        <v>6098</v>
      </c>
      <c r="E96">
        <v>0.83833333333333304</v>
      </c>
      <c r="F96">
        <v>0.16166666666666701</v>
      </c>
      <c r="G96">
        <v>4024</v>
      </c>
      <c r="H96">
        <v>233</v>
      </c>
      <c r="I96">
        <v>154</v>
      </c>
      <c r="J96">
        <v>150</v>
      </c>
      <c r="K96">
        <v>114</v>
      </c>
      <c r="L96">
        <v>51</v>
      </c>
      <c r="M96">
        <v>74</v>
      </c>
      <c r="N96">
        <v>0.83833333333333304</v>
      </c>
      <c r="O96">
        <v>4.8541666666666698E-2</v>
      </c>
      <c r="P96">
        <v>3.2083333333333297E-2</v>
      </c>
      <c r="Q96">
        <v>3.125E-2</v>
      </c>
      <c r="R96">
        <v>2.375E-2</v>
      </c>
      <c r="S96">
        <v>1.0625000000000001E-2</v>
      </c>
      <c r="T96">
        <v>1.54166666666667E-2</v>
      </c>
      <c r="U96">
        <v>0.30025773195876299</v>
      </c>
      <c r="V96">
        <v>0.198453608247423</v>
      </c>
      <c r="W96">
        <v>0.19329896907216501</v>
      </c>
      <c r="X96">
        <v>0.14690721649484501</v>
      </c>
      <c r="Y96">
        <v>6.5721649484536099E-2</v>
      </c>
      <c r="Z96">
        <v>9.5360824742267994E-2</v>
      </c>
      <c r="AA96">
        <v>233</v>
      </c>
      <c r="AB96">
        <v>366</v>
      </c>
      <c r="AC96">
        <v>736</v>
      </c>
      <c r="AD96">
        <v>1032</v>
      </c>
      <c r="AE96">
        <v>850</v>
      </c>
      <c r="AF96">
        <v>2881</v>
      </c>
      <c r="AG96">
        <v>1.2704166666666701</v>
      </c>
      <c r="AH96">
        <v>7.8582474226804102</v>
      </c>
      <c r="AI96">
        <v>776</v>
      </c>
      <c r="AJ96">
        <v>16.1666666666667</v>
      </c>
      <c r="AK96">
        <v>1578</v>
      </c>
      <c r="AL96">
        <v>1578</v>
      </c>
      <c r="AM96">
        <v>1511</v>
      </c>
      <c r="AN96">
        <v>0.95799999999999996</v>
      </c>
      <c r="AO96">
        <v>31</v>
      </c>
      <c r="AP96">
        <v>12.465759025307699</v>
      </c>
    </row>
    <row r="97" spans="1:42" x14ac:dyDescent="0.35">
      <c r="A97" s="1">
        <v>45778</v>
      </c>
      <c r="B97" t="s">
        <v>4</v>
      </c>
      <c r="C97">
        <v>1924</v>
      </c>
      <c r="D97">
        <v>398</v>
      </c>
      <c r="E97">
        <v>0.90644490644490605</v>
      </c>
      <c r="F97">
        <v>9.3555093555093602E-2</v>
      </c>
      <c r="G97">
        <v>1744</v>
      </c>
      <c r="H97">
        <v>108</v>
      </c>
      <c r="I97">
        <v>46</v>
      </c>
      <c r="J97">
        <v>18</v>
      </c>
      <c r="K97">
        <v>5</v>
      </c>
      <c r="L97">
        <v>2</v>
      </c>
      <c r="M97">
        <v>1</v>
      </c>
      <c r="N97">
        <v>0.90644490644490605</v>
      </c>
      <c r="O97">
        <v>5.6133056133056101E-2</v>
      </c>
      <c r="P97">
        <v>2.3908523908523899E-2</v>
      </c>
      <c r="Q97">
        <v>9.3555093555093595E-3</v>
      </c>
      <c r="R97">
        <v>2.5987525987526002E-3</v>
      </c>
      <c r="S97">
        <v>1.03950103950104E-3</v>
      </c>
      <c r="T97">
        <v>5.1975051975052E-4</v>
      </c>
      <c r="U97">
        <v>0.6</v>
      </c>
      <c r="V97">
        <v>0.25555555555555598</v>
      </c>
      <c r="W97">
        <v>0.1</v>
      </c>
      <c r="X97">
        <v>2.7777777777777801E-2</v>
      </c>
      <c r="Y97">
        <v>1.1111111111111099E-2</v>
      </c>
      <c r="Z97">
        <v>5.5555555555555601E-3</v>
      </c>
      <c r="AA97">
        <v>108</v>
      </c>
      <c r="AB97">
        <v>107</v>
      </c>
      <c r="AC97">
        <v>84</v>
      </c>
      <c r="AD97">
        <v>39</v>
      </c>
      <c r="AE97">
        <v>35</v>
      </c>
      <c r="AF97">
        <v>25</v>
      </c>
      <c r="AG97">
        <v>0.20686070686070701</v>
      </c>
      <c r="AH97">
        <v>2.2111111111111099</v>
      </c>
      <c r="AI97">
        <v>180</v>
      </c>
      <c r="AJ97">
        <v>9.3555093555093602</v>
      </c>
      <c r="AK97">
        <v>415</v>
      </c>
      <c r="AL97">
        <v>398</v>
      </c>
      <c r="AM97">
        <v>403</v>
      </c>
      <c r="AN97">
        <v>0.97</v>
      </c>
      <c r="AO97">
        <v>31</v>
      </c>
      <c r="AP97">
        <v>3.2258064516128999</v>
      </c>
    </row>
    <row r="98" spans="1:42" x14ac:dyDescent="0.35">
      <c r="A98" s="1">
        <v>45778</v>
      </c>
      <c r="B98" t="s">
        <v>0</v>
      </c>
      <c r="C98">
        <v>2124</v>
      </c>
      <c r="D98">
        <v>1202</v>
      </c>
      <c r="E98">
        <v>0.89312617702448205</v>
      </c>
      <c r="F98">
        <v>0.10687382297551801</v>
      </c>
      <c r="G98">
        <v>1897</v>
      </c>
      <c r="H98">
        <v>48</v>
      </c>
      <c r="I98">
        <v>72</v>
      </c>
      <c r="J98">
        <v>50</v>
      </c>
      <c r="K98">
        <v>37</v>
      </c>
      <c r="L98">
        <v>9</v>
      </c>
      <c r="M98">
        <v>11</v>
      </c>
      <c r="N98">
        <v>0.89312617702448205</v>
      </c>
      <c r="O98">
        <v>2.2598870056497199E-2</v>
      </c>
      <c r="P98">
        <v>3.3898305084745797E-2</v>
      </c>
      <c r="Q98">
        <v>2.3540489642184598E-2</v>
      </c>
      <c r="R98">
        <v>1.7419962335216602E-2</v>
      </c>
      <c r="S98">
        <v>4.2372881355932203E-3</v>
      </c>
      <c r="T98">
        <v>5.1789077212806003E-3</v>
      </c>
      <c r="U98">
        <v>0.21145374449339199</v>
      </c>
      <c r="V98">
        <v>0.31718061674008802</v>
      </c>
      <c r="W98">
        <v>0.22026431718061701</v>
      </c>
      <c r="X98">
        <v>0.16299559471365599</v>
      </c>
      <c r="Y98">
        <v>3.9647577092511002E-2</v>
      </c>
      <c r="Z98">
        <v>4.8458149779735699E-2</v>
      </c>
      <c r="AA98">
        <v>48</v>
      </c>
      <c r="AB98">
        <v>170</v>
      </c>
      <c r="AC98">
        <v>243</v>
      </c>
      <c r="AD98">
        <v>322</v>
      </c>
      <c r="AE98">
        <v>136</v>
      </c>
      <c r="AF98">
        <v>283</v>
      </c>
      <c r="AG98">
        <v>0.565913370998117</v>
      </c>
      <c r="AH98">
        <v>5.2951541850220298</v>
      </c>
      <c r="AI98">
        <v>227</v>
      </c>
      <c r="AJ98">
        <v>10.6873822975518</v>
      </c>
      <c r="AK98">
        <v>524</v>
      </c>
      <c r="AL98">
        <v>479</v>
      </c>
      <c r="AM98">
        <v>495</v>
      </c>
      <c r="AN98">
        <v>0.94499999999999995</v>
      </c>
      <c r="AO98">
        <v>31</v>
      </c>
      <c r="AP98">
        <v>8.0948212000808102</v>
      </c>
    </row>
    <row r="99" spans="1:42" x14ac:dyDescent="0.35">
      <c r="A99" s="1">
        <v>45778</v>
      </c>
      <c r="B99" t="s">
        <v>3</v>
      </c>
      <c r="C99">
        <v>2152</v>
      </c>
      <c r="D99">
        <v>1239</v>
      </c>
      <c r="E99">
        <v>0.81877323420074399</v>
      </c>
      <c r="F99">
        <v>0.18122676579925701</v>
      </c>
      <c r="G99">
        <v>1762</v>
      </c>
      <c r="H99">
        <v>180</v>
      </c>
      <c r="I99">
        <v>97</v>
      </c>
      <c r="J99">
        <v>63</v>
      </c>
      <c r="K99">
        <v>36</v>
      </c>
      <c r="L99">
        <v>12</v>
      </c>
      <c r="M99">
        <v>2</v>
      </c>
      <c r="N99">
        <v>0.81877323420074399</v>
      </c>
      <c r="O99">
        <v>8.3643122676579904E-2</v>
      </c>
      <c r="P99">
        <v>4.5074349442379202E-2</v>
      </c>
      <c r="Q99">
        <v>2.9275092936802999E-2</v>
      </c>
      <c r="R99">
        <v>1.6728624535316001E-2</v>
      </c>
      <c r="S99">
        <v>5.5762081784386597E-3</v>
      </c>
      <c r="T99">
        <v>9.2936802973977702E-4</v>
      </c>
      <c r="U99">
        <v>0.46153846153846201</v>
      </c>
      <c r="V99">
        <v>0.248717948717949</v>
      </c>
      <c r="W99">
        <v>0.16153846153846199</v>
      </c>
      <c r="X99">
        <v>9.2307692307692299E-2</v>
      </c>
      <c r="Y99">
        <v>3.0769230769230799E-2</v>
      </c>
      <c r="Z99">
        <v>5.1282051282051299E-3</v>
      </c>
      <c r="AA99">
        <v>180</v>
      </c>
      <c r="AB99">
        <v>234</v>
      </c>
      <c r="AC99">
        <v>301</v>
      </c>
      <c r="AD99">
        <v>291</v>
      </c>
      <c r="AE99">
        <v>182</v>
      </c>
      <c r="AF99">
        <v>51</v>
      </c>
      <c r="AG99">
        <v>0.57574349442379202</v>
      </c>
      <c r="AH99">
        <v>3.1769230769230798</v>
      </c>
      <c r="AI99">
        <v>390</v>
      </c>
      <c r="AJ99">
        <v>18.122676579925599</v>
      </c>
      <c r="AK99">
        <v>455</v>
      </c>
      <c r="AL99">
        <v>440</v>
      </c>
      <c r="AM99">
        <v>413</v>
      </c>
      <c r="AN99">
        <v>0.90700000000000003</v>
      </c>
      <c r="AO99">
        <v>31</v>
      </c>
      <c r="AP99">
        <v>9.0835777126099693</v>
      </c>
    </row>
    <row r="100" spans="1:42" x14ac:dyDescent="0.35">
      <c r="A100" s="1">
        <v>45809</v>
      </c>
      <c r="B100" t="s">
        <v>1</v>
      </c>
      <c r="C100">
        <v>1266</v>
      </c>
      <c r="D100">
        <v>921</v>
      </c>
      <c r="E100">
        <v>0.87598736176935199</v>
      </c>
      <c r="F100">
        <v>0.124012638230648</v>
      </c>
      <c r="G100">
        <v>1109</v>
      </c>
      <c r="H100">
        <v>36</v>
      </c>
      <c r="I100">
        <v>46</v>
      </c>
      <c r="J100">
        <v>29</v>
      </c>
      <c r="K100">
        <v>28</v>
      </c>
      <c r="L100">
        <v>11</v>
      </c>
      <c r="M100">
        <v>7</v>
      </c>
      <c r="N100">
        <v>0.87598736176935199</v>
      </c>
      <c r="O100">
        <v>2.8436018957346001E-2</v>
      </c>
      <c r="P100">
        <v>3.6334913112164302E-2</v>
      </c>
      <c r="Q100">
        <v>2.2906793048973102E-2</v>
      </c>
      <c r="R100">
        <v>2.2116903633491301E-2</v>
      </c>
      <c r="S100">
        <v>8.6887835703001598E-3</v>
      </c>
      <c r="T100">
        <v>5.5292259083728297E-3</v>
      </c>
      <c r="U100">
        <v>0.22929936305732501</v>
      </c>
      <c r="V100">
        <v>0.29299363057324801</v>
      </c>
      <c r="W100">
        <v>0.184713375796178</v>
      </c>
      <c r="X100">
        <v>0.178343949044586</v>
      </c>
      <c r="Y100">
        <v>7.0063694267515894E-2</v>
      </c>
      <c r="Z100">
        <v>4.4585987261146501E-2</v>
      </c>
      <c r="AA100">
        <v>36</v>
      </c>
      <c r="AB100">
        <v>115</v>
      </c>
      <c r="AC100">
        <v>150</v>
      </c>
      <c r="AD100">
        <v>270</v>
      </c>
      <c r="AE100">
        <v>171</v>
      </c>
      <c r="AF100">
        <v>179</v>
      </c>
      <c r="AG100">
        <v>0.72748815165876801</v>
      </c>
      <c r="AH100">
        <v>5.8662420382165603</v>
      </c>
      <c r="AI100">
        <v>157</v>
      </c>
      <c r="AJ100">
        <v>12.4012638230648</v>
      </c>
      <c r="AK100">
        <v>356</v>
      </c>
      <c r="AL100">
        <v>341</v>
      </c>
      <c r="AM100">
        <v>333</v>
      </c>
      <c r="AN100">
        <v>0.93700000000000006</v>
      </c>
      <c r="AO100">
        <v>30</v>
      </c>
      <c r="AP100">
        <v>9.0029325513196508</v>
      </c>
    </row>
    <row r="101" spans="1:42" x14ac:dyDescent="0.35">
      <c r="A101" s="1">
        <v>45809</v>
      </c>
      <c r="B101" t="s">
        <v>5</v>
      </c>
      <c r="C101">
        <v>1285</v>
      </c>
      <c r="D101">
        <v>3330</v>
      </c>
      <c r="E101">
        <v>0.61556420233463005</v>
      </c>
      <c r="F101">
        <v>0.38443579766537</v>
      </c>
      <c r="G101">
        <v>791</v>
      </c>
      <c r="H101">
        <v>130</v>
      </c>
      <c r="I101">
        <v>126</v>
      </c>
      <c r="J101">
        <v>81</v>
      </c>
      <c r="K101">
        <v>83</v>
      </c>
      <c r="L101">
        <v>51</v>
      </c>
      <c r="M101">
        <v>23</v>
      </c>
      <c r="N101">
        <v>0.61556420233463005</v>
      </c>
      <c r="O101">
        <v>0.101167315175097</v>
      </c>
      <c r="P101">
        <v>9.8054474708171205E-2</v>
      </c>
      <c r="Q101">
        <v>6.3035019455252903E-2</v>
      </c>
      <c r="R101">
        <v>6.4591439688716001E-2</v>
      </c>
      <c r="S101">
        <v>3.9688715953307398E-2</v>
      </c>
      <c r="T101">
        <v>1.7898832684824902E-2</v>
      </c>
      <c r="U101">
        <v>0.26315789473684198</v>
      </c>
      <c r="V101">
        <v>0.25506072874493901</v>
      </c>
      <c r="W101">
        <v>0.16396761133603199</v>
      </c>
      <c r="X101">
        <v>0.168016194331984</v>
      </c>
      <c r="Y101">
        <v>0.103238866396761</v>
      </c>
      <c r="Z101">
        <v>4.6558704453441298E-2</v>
      </c>
      <c r="AA101">
        <v>130</v>
      </c>
      <c r="AB101">
        <v>315</v>
      </c>
      <c r="AC101">
        <v>389</v>
      </c>
      <c r="AD101">
        <v>780</v>
      </c>
      <c r="AE101">
        <v>855</v>
      </c>
      <c r="AF101">
        <v>861</v>
      </c>
      <c r="AG101">
        <v>2.5914396887159499</v>
      </c>
      <c r="AH101">
        <v>6.7408906882591104</v>
      </c>
      <c r="AI101">
        <v>494</v>
      </c>
      <c r="AJ101">
        <v>38.443579766536999</v>
      </c>
      <c r="AK101">
        <v>379</v>
      </c>
      <c r="AL101">
        <v>379</v>
      </c>
      <c r="AM101">
        <v>376</v>
      </c>
      <c r="AN101">
        <v>0.99099999999999999</v>
      </c>
      <c r="AO101">
        <v>30</v>
      </c>
      <c r="AP101">
        <v>29.287598944591</v>
      </c>
    </row>
    <row r="102" spans="1:42" x14ac:dyDescent="0.35">
      <c r="A102" s="1">
        <v>45809</v>
      </c>
      <c r="B102" t="s">
        <v>6</v>
      </c>
      <c r="C102">
        <v>4180</v>
      </c>
      <c r="D102">
        <v>3116</v>
      </c>
      <c r="E102">
        <v>0.90717703349282297</v>
      </c>
      <c r="F102">
        <v>9.2822966507177002E-2</v>
      </c>
      <c r="G102">
        <v>3792</v>
      </c>
      <c r="H102">
        <v>62</v>
      </c>
      <c r="I102">
        <v>68</v>
      </c>
      <c r="J102">
        <v>88</v>
      </c>
      <c r="K102">
        <v>107</v>
      </c>
      <c r="L102">
        <v>37</v>
      </c>
      <c r="M102">
        <v>26</v>
      </c>
      <c r="N102">
        <v>0.90717703349282297</v>
      </c>
      <c r="O102">
        <v>1.4832535885167499E-2</v>
      </c>
      <c r="P102">
        <v>1.6267942583732101E-2</v>
      </c>
      <c r="Q102">
        <v>2.1052631578947399E-2</v>
      </c>
      <c r="R102">
        <v>2.5598086124401901E-2</v>
      </c>
      <c r="S102">
        <v>8.8516746411483292E-3</v>
      </c>
      <c r="T102">
        <v>6.2200956937799E-3</v>
      </c>
      <c r="U102">
        <v>0.15979381443299001</v>
      </c>
      <c r="V102">
        <v>0.17525773195876301</v>
      </c>
      <c r="W102">
        <v>0.22680412371134001</v>
      </c>
      <c r="X102">
        <v>0.27577319587628901</v>
      </c>
      <c r="Y102">
        <v>9.5360824742267994E-2</v>
      </c>
      <c r="Z102">
        <v>6.7010309278350499E-2</v>
      </c>
      <c r="AA102">
        <v>62</v>
      </c>
      <c r="AB102">
        <v>161</v>
      </c>
      <c r="AC102">
        <v>419</v>
      </c>
      <c r="AD102">
        <v>983</v>
      </c>
      <c r="AE102">
        <v>629</v>
      </c>
      <c r="AF102">
        <v>862</v>
      </c>
      <c r="AG102">
        <v>0.74545454545454504</v>
      </c>
      <c r="AH102">
        <v>8.0309278350515498</v>
      </c>
      <c r="AI102">
        <v>388</v>
      </c>
      <c r="AJ102">
        <v>9.2822966507177007</v>
      </c>
      <c r="AK102">
        <v>857</v>
      </c>
      <c r="AL102">
        <v>797</v>
      </c>
      <c r="AM102">
        <v>748</v>
      </c>
      <c r="AN102">
        <v>0.872</v>
      </c>
      <c r="AO102">
        <v>30</v>
      </c>
      <c r="AP102">
        <v>13.032204098703501</v>
      </c>
    </row>
    <row r="103" spans="1:42" x14ac:dyDescent="0.35">
      <c r="A103" s="1">
        <v>45809</v>
      </c>
      <c r="B103" t="s">
        <v>2</v>
      </c>
      <c r="C103">
        <v>4646</v>
      </c>
      <c r="D103">
        <v>5369</v>
      </c>
      <c r="E103">
        <v>0.83340507963839905</v>
      </c>
      <c r="F103">
        <v>0.16659492036160101</v>
      </c>
      <c r="G103">
        <v>3872</v>
      </c>
      <c r="H103">
        <v>217</v>
      </c>
      <c r="I103">
        <v>183</v>
      </c>
      <c r="J103">
        <v>150</v>
      </c>
      <c r="K103">
        <v>128</v>
      </c>
      <c r="L103">
        <v>31</v>
      </c>
      <c r="M103">
        <v>65</v>
      </c>
      <c r="N103">
        <v>0.83340507963839905</v>
      </c>
      <c r="O103">
        <v>4.6706844597503197E-2</v>
      </c>
      <c r="P103">
        <v>3.93887214808437E-2</v>
      </c>
      <c r="Q103">
        <v>3.22858372793801E-2</v>
      </c>
      <c r="R103">
        <v>2.7550581145071001E-2</v>
      </c>
      <c r="S103">
        <v>6.6724063710718899E-3</v>
      </c>
      <c r="T103">
        <v>1.39905294877314E-2</v>
      </c>
      <c r="U103">
        <v>0.28036175710594302</v>
      </c>
      <c r="V103">
        <v>0.23643410852713201</v>
      </c>
      <c r="W103">
        <v>0.193798449612403</v>
      </c>
      <c r="X103">
        <v>0.16537467700258399</v>
      </c>
      <c r="Y103">
        <v>4.0051679586563298E-2</v>
      </c>
      <c r="Z103">
        <v>8.3979328165374706E-2</v>
      </c>
      <c r="AA103">
        <v>217</v>
      </c>
      <c r="AB103">
        <v>436</v>
      </c>
      <c r="AC103">
        <v>719</v>
      </c>
      <c r="AD103">
        <v>1145</v>
      </c>
      <c r="AE103">
        <v>508</v>
      </c>
      <c r="AF103">
        <v>2344</v>
      </c>
      <c r="AG103">
        <v>1.15561773568661</v>
      </c>
      <c r="AH103">
        <v>6.9366925064599503</v>
      </c>
      <c r="AI103">
        <v>774</v>
      </c>
      <c r="AJ103">
        <v>16.659492036160099</v>
      </c>
      <c r="AK103">
        <v>1562</v>
      </c>
      <c r="AL103">
        <v>1562</v>
      </c>
      <c r="AM103">
        <v>1496</v>
      </c>
      <c r="AN103">
        <v>0.95799999999999996</v>
      </c>
      <c r="AO103">
        <v>30</v>
      </c>
      <c r="AP103">
        <v>11.4575330772514</v>
      </c>
    </row>
    <row r="104" spans="1:42" x14ac:dyDescent="0.35">
      <c r="A104" s="1">
        <v>45809</v>
      </c>
      <c r="B104" t="s">
        <v>4</v>
      </c>
      <c r="C104">
        <v>1813</v>
      </c>
      <c r="D104">
        <v>457</v>
      </c>
      <c r="E104">
        <v>0.90237175951461701</v>
      </c>
      <c r="F104">
        <v>9.7628240485383294E-2</v>
      </c>
      <c r="G104">
        <v>1636</v>
      </c>
      <c r="H104">
        <v>94</v>
      </c>
      <c r="I104">
        <v>55</v>
      </c>
      <c r="J104">
        <v>16</v>
      </c>
      <c r="K104">
        <v>7</v>
      </c>
      <c r="L104">
        <v>3</v>
      </c>
      <c r="M104">
        <v>2</v>
      </c>
      <c r="N104">
        <v>0.90237175951461701</v>
      </c>
      <c r="O104">
        <v>5.1847766133480397E-2</v>
      </c>
      <c r="P104">
        <v>3.0336458907887501E-2</v>
      </c>
      <c r="Q104">
        <v>8.8251516822945401E-3</v>
      </c>
      <c r="R104">
        <v>3.8610038610038598E-3</v>
      </c>
      <c r="S104">
        <v>1.65471594043023E-3</v>
      </c>
      <c r="T104">
        <v>1.1031439602868199E-3</v>
      </c>
      <c r="U104">
        <v>0.53107344632768405</v>
      </c>
      <c r="V104">
        <v>0.31073446327683601</v>
      </c>
      <c r="W104">
        <v>9.03954802259887E-2</v>
      </c>
      <c r="X104">
        <v>3.9548022598870101E-2</v>
      </c>
      <c r="Y104">
        <v>1.6949152542372899E-2</v>
      </c>
      <c r="Z104">
        <v>1.12994350282486E-2</v>
      </c>
      <c r="AA104">
        <v>94</v>
      </c>
      <c r="AB104">
        <v>123</v>
      </c>
      <c r="AC104">
        <v>74</v>
      </c>
      <c r="AD104">
        <v>68</v>
      </c>
      <c r="AE104">
        <v>50</v>
      </c>
      <c r="AF104">
        <v>48</v>
      </c>
      <c r="AG104">
        <v>0.25206839492553801</v>
      </c>
      <c r="AH104">
        <v>2.5819209039548001</v>
      </c>
      <c r="AI104">
        <v>177</v>
      </c>
      <c r="AJ104">
        <v>9.7628240485383309</v>
      </c>
      <c r="AK104">
        <v>421</v>
      </c>
      <c r="AL104">
        <v>404</v>
      </c>
      <c r="AM104">
        <v>397</v>
      </c>
      <c r="AN104">
        <v>0.94199999999999995</v>
      </c>
      <c r="AO104">
        <v>30</v>
      </c>
      <c r="AP104">
        <v>3.7706270627062701</v>
      </c>
    </row>
    <row r="105" spans="1:42" x14ac:dyDescent="0.35">
      <c r="A105" s="1">
        <v>45809</v>
      </c>
      <c r="B105" t="s">
        <v>0</v>
      </c>
      <c r="C105">
        <v>2278</v>
      </c>
      <c r="D105">
        <v>856</v>
      </c>
      <c r="E105">
        <v>0.93020193151887598</v>
      </c>
      <c r="F105">
        <v>6.9798068481123798E-2</v>
      </c>
      <c r="G105">
        <v>2119</v>
      </c>
      <c r="H105">
        <v>41</v>
      </c>
      <c r="I105">
        <v>50</v>
      </c>
      <c r="J105">
        <v>20</v>
      </c>
      <c r="K105">
        <v>33</v>
      </c>
      <c r="L105">
        <v>10</v>
      </c>
      <c r="M105">
        <v>5</v>
      </c>
      <c r="N105">
        <v>0.93020193151887598</v>
      </c>
      <c r="O105">
        <v>1.7998244073748899E-2</v>
      </c>
      <c r="P105">
        <v>2.19490781387182E-2</v>
      </c>
      <c r="Q105">
        <v>8.7796312554872698E-3</v>
      </c>
      <c r="R105">
        <v>1.4486391571554E-2</v>
      </c>
      <c r="S105">
        <v>4.3898156277436297E-3</v>
      </c>
      <c r="T105">
        <v>2.19490781387182E-3</v>
      </c>
      <c r="U105">
        <v>0.25786163522012601</v>
      </c>
      <c r="V105">
        <v>0.31446540880503099</v>
      </c>
      <c r="W105">
        <v>0.12578616352201299</v>
      </c>
      <c r="X105">
        <v>0.20754716981132099</v>
      </c>
      <c r="Y105">
        <v>6.2893081761006303E-2</v>
      </c>
      <c r="Z105">
        <v>3.1446540880503103E-2</v>
      </c>
      <c r="AA105">
        <v>41</v>
      </c>
      <c r="AB105">
        <v>117</v>
      </c>
      <c r="AC105">
        <v>97</v>
      </c>
      <c r="AD105">
        <v>294</v>
      </c>
      <c r="AE105">
        <v>155</v>
      </c>
      <c r="AF105">
        <v>152</v>
      </c>
      <c r="AG105">
        <v>0.37576821773485503</v>
      </c>
      <c r="AH105">
        <v>5.3836477987421398</v>
      </c>
      <c r="AI105">
        <v>159</v>
      </c>
      <c r="AJ105">
        <v>6.9798068481123803</v>
      </c>
      <c r="AK105">
        <v>510</v>
      </c>
      <c r="AL105">
        <v>465</v>
      </c>
      <c r="AM105">
        <v>474</v>
      </c>
      <c r="AN105">
        <v>0.92900000000000005</v>
      </c>
      <c r="AO105">
        <v>30</v>
      </c>
      <c r="AP105">
        <v>6.1362007168458801</v>
      </c>
    </row>
    <row r="106" spans="1:42" x14ac:dyDescent="0.35">
      <c r="A106" s="1">
        <v>45809</v>
      </c>
      <c r="B106" t="s">
        <v>3</v>
      </c>
      <c r="C106">
        <v>2026</v>
      </c>
      <c r="D106">
        <v>1144</v>
      </c>
      <c r="E106">
        <v>0.84402764067127301</v>
      </c>
      <c r="F106">
        <v>0.15597235932872699</v>
      </c>
      <c r="G106">
        <v>1710</v>
      </c>
      <c r="H106">
        <v>138</v>
      </c>
      <c r="I106">
        <v>94</v>
      </c>
      <c r="J106">
        <v>43</v>
      </c>
      <c r="K106">
        <v>26</v>
      </c>
      <c r="L106">
        <v>12</v>
      </c>
      <c r="M106">
        <v>3</v>
      </c>
      <c r="N106">
        <v>0.84402764067127301</v>
      </c>
      <c r="O106">
        <v>6.8114511352418597E-2</v>
      </c>
      <c r="P106">
        <v>4.6396841066140199E-2</v>
      </c>
      <c r="Q106">
        <v>2.12240868706811E-2</v>
      </c>
      <c r="R106">
        <v>1.28331688055281E-2</v>
      </c>
      <c r="S106">
        <v>5.9230009871668304E-3</v>
      </c>
      <c r="T106">
        <v>1.48075024679171E-3</v>
      </c>
      <c r="U106">
        <v>0.436708860759494</v>
      </c>
      <c r="V106">
        <v>0.29746835443038</v>
      </c>
      <c r="W106">
        <v>0.136075949367089</v>
      </c>
      <c r="X106">
        <v>8.2278481012658194E-2</v>
      </c>
      <c r="Y106">
        <v>3.7974683544303799E-2</v>
      </c>
      <c r="Z106">
        <v>9.4936708860759497E-3</v>
      </c>
      <c r="AA106">
        <v>138</v>
      </c>
      <c r="AB106">
        <v>230</v>
      </c>
      <c r="AC106">
        <v>200</v>
      </c>
      <c r="AD106">
        <v>252</v>
      </c>
      <c r="AE106">
        <v>211</v>
      </c>
      <c r="AF106">
        <v>113</v>
      </c>
      <c r="AG106">
        <v>0.56465942744323805</v>
      </c>
      <c r="AH106">
        <v>3.62025316455696</v>
      </c>
      <c r="AI106">
        <v>316</v>
      </c>
      <c r="AJ106">
        <v>15.597235932872699</v>
      </c>
      <c r="AK106">
        <v>446</v>
      </c>
      <c r="AL106">
        <v>431</v>
      </c>
      <c r="AM106">
        <v>411</v>
      </c>
      <c r="AN106">
        <v>0.92100000000000004</v>
      </c>
      <c r="AO106">
        <v>30</v>
      </c>
      <c r="AP106">
        <v>8.8476411446248999</v>
      </c>
    </row>
    <row r="107" spans="1:42" x14ac:dyDescent="0.35">
      <c r="A107" s="1">
        <v>45839</v>
      </c>
      <c r="B107" t="s">
        <v>1</v>
      </c>
      <c r="C107">
        <v>1410</v>
      </c>
      <c r="D107">
        <v>971</v>
      </c>
      <c r="E107">
        <v>0.86312056737588605</v>
      </c>
      <c r="F107">
        <v>0.13687943262411301</v>
      </c>
      <c r="G107">
        <v>1217</v>
      </c>
      <c r="H107">
        <v>58</v>
      </c>
      <c r="I107">
        <v>43</v>
      </c>
      <c r="J107">
        <v>46</v>
      </c>
      <c r="K107">
        <v>29</v>
      </c>
      <c r="L107">
        <v>14</v>
      </c>
      <c r="M107">
        <v>3</v>
      </c>
      <c r="N107">
        <v>0.86312056737588605</v>
      </c>
      <c r="O107">
        <v>4.1134751773049601E-2</v>
      </c>
      <c r="P107">
        <v>3.0496453900709201E-2</v>
      </c>
      <c r="Q107">
        <v>3.2624113475177297E-2</v>
      </c>
      <c r="R107">
        <v>2.05673758865248E-2</v>
      </c>
      <c r="S107">
        <v>9.9290780141843994E-3</v>
      </c>
      <c r="T107">
        <v>2.1276595744680899E-3</v>
      </c>
      <c r="U107">
        <v>0.30051813471502598</v>
      </c>
      <c r="V107">
        <v>0.22279792746113999</v>
      </c>
      <c r="W107">
        <v>0.238341968911917</v>
      </c>
      <c r="X107">
        <v>0.15025906735751299</v>
      </c>
      <c r="Y107">
        <v>7.2538860103626895E-2</v>
      </c>
      <c r="Z107">
        <v>1.55440414507772E-2</v>
      </c>
      <c r="AA107">
        <v>58</v>
      </c>
      <c r="AB107">
        <v>99</v>
      </c>
      <c r="AC107">
        <v>231</v>
      </c>
      <c r="AD107">
        <v>284</v>
      </c>
      <c r="AE107">
        <v>229</v>
      </c>
      <c r="AF107">
        <v>70</v>
      </c>
      <c r="AG107">
        <v>0.68865248226950404</v>
      </c>
      <c r="AH107">
        <v>5.0310880829015501</v>
      </c>
      <c r="AI107">
        <v>193</v>
      </c>
      <c r="AJ107">
        <v>13.6879432624113</v>
      </c>
      <c r="AK107">
        <v>365</v>
      </c>
      <c r="AL107">
        <v>349</v>
      </c>
      <c r="AM107">
        <v>340</v>
      </c>
      <c r="AN107">
        <v>0.93300000000000005</v>
      </c>
      <c r="AO107">
        <v>31</v>
      </c>
      <c r="AP107">
        <v>8.9749514742582495</v>
      </c>
    </row>
    <row r="108" spans="1:42" x14ac:dyDescent="0.35">
      <c r="A108" s="1">
        <v>45839</v>
      </c>
      <c r="B108" t="s">
        <v>5</v>
      </c>
      <c r="C108">
        <v>1316</v>
      </c>
      <c r="D108">
        <v>3022</v>
      </c>
      <c r="E108">
        <v>0.61854103343465106</v>
      </c>
      <c r="F108">
        <v>0.38145896656535</v>
      </c>
      <c r="G108">
        <v>814</v>
      </c>
      <c r="H108">
        <v>138</v>
      </c>
      <c r="I108">
        <v>142</v>
      </c>
      <c r="J108">
        <v>84</v>
      </c>
      <c r="K108">
        <v>84</v>
      </c>
      <c r="L108">
        <v>29</v>
      </c>
      <c r="M108">
        <v>25</v>
      </c>
      <c r="N108">
        <v>0.61854103343465106</v>
      </c>
      <c r="O108">
        <v>0.104863221884498</v>
      </c>
      <c r="P108">
        <v>0.10790273556231</v>
      </c>
      <c r="Q108">
        <v>6.3829787234042507E-2</v>
      </c>
      <c r="R108">
        <v>6.3829787234042507E-2</v>
      </c>
      <c r="S108">
        <v>2.20364741641337E-2</v>
      </c>
      <c r="T108">
        <v>1.8996960486322201E-2</v>
      </c>
      <c r="U108">
        <v>0.27490039840637398</v>
      </c>
      <c r="V108">
        <v>0.28286852589641398</v>
      </c>
      <c r="W108">
        <v>0.167330677290837</v>
      </c>
      <c r="X108">
        <v>0.167330677290837</v>
      </c>
      <c r="Y108">
        <v>5.77689243027888E-2</v>
      </c>
      <c r="Z108">
        <v>4.9800796812749001E-2</v>
      </c>
      <c r="AA108">
        <v>138</v>
      </c>
      <c r="AB108">
        <v>344</v>
      </c>
      <c r="AC108">
        <v>395</v>
      </c>
      <c r="AD108">
        <v>792</v>
      </c>
      <c r="AE108">
        <v>473</v>
      </c>
      <c r="AF108">
        <v>880</v>
      </c>
      <c r="AG108">
        <v>2.2963525835866299</v>
      </c>
      <c r="AH108">
        <v>6.0199203187250996</v>
      </c>
      <c r="AI108">
        <v>502</v>
      </c>
      <c r="AJ108">
        <v>38.145896656535001</v>
      </c>
      <c r="AK108">
        <v>370</v>
      </c>
      <c r="AL108">
        <v>370</v>
      </c>
      <c r="AM108">
        <v>361</v>
      </c>
      <c r="AN108">
        <v>0.97599999999999998</v>
      </c>
      <c r="AO108">
        <v>31</v>
      </c>
      <c r="AP108">
        <v>26.3469921534438</v>
      </c>
    </row>
    <row r="109" spans="1:42" x14ac:dyDescent="0.35">
      <c r="A109" s="1">
        <v>45839</v>
      </c>
      <c r="B109" t="s">
        <v>6</v>
      </c>
      <c r="C109">
        <v>4547</v>
      </c>
      <c r="D109">
        <v>3089</v>
      </c>
      <c r="E109">
        <v>0.91642841433912503</v>
      </c>
      <c r="F109">
        <v>8.3571585660875303E-2</v>
      </c>
      <c r="G109">
        <v>4167</v>
      </c>
      <c r="H109">
        <v>59</v>
      </c>
      <c r="I109">
        <v>76</v>
      </c>
      <c r="J109">
        <v>78</v>
      </c>
      <c r="K109">
        <v>93</v>
      </c>
      <c r="L109">
        <v>41</v>
      </c>
      <c r="M109">
        <v>33</v>
      </c>
      <c r="N109">
        <v>0.91642841433912503</v>
      </c>
      <c r="O109">
        <v>1.2975588299978E-2</v>
      </c>
      <c r="P109">
        <v>1.67143171321751E-2</v>
      </c>
      <c r="Q109">
        <v>1.7154167583021799E-2</v>
      </c>
      <c r="R109">
        <v>2.0453045964372099E-2</v>
      </c>
      <c r="S109">
        <v>9.0169342423576E-3</v>
      </c>
      <c r="T109">
        <v>7.2575324389707501E-3</v>
      </c>
      <c r="U109">
        <v>0.15526315789473699</v>
      </c>
      <c r="V109">
        <v>0.2</v>
      </c>
      <c r="W109">
        <v>0.20526315789473701</v>
      </c>
      <c r="X109">
        <v>0.244736842105263</v>
      </c>
      <c r="Y109">
        <v>0.107894736842105</v>
      </c>
      <c r="Z109">
        <v>8.6842105263157901E-2</v>
      </c>
      <c r="AA109">
        <v>59</v>
      </c>
      <c r="AB109">
        <v>189</v>
      </c>
      <c r="AC109">
        <v>387</v>
      </c>
      <c r="AD109">
        <v>877</v>
      </c>
      <c r="AE109">
        <v>662</v>
      </c>
      <c r="AF109">
        <v>915</v>
      </c>
      <c r="AG109">
        <v>0.67934902133274699</v>
      </c>
      <c r="AH109">
        <v>8.1289473684210503</v>
      </c>
      <c r="AI109">
        <v>380</v>
      </c>
      <c r="AJ109">
        <v>8.3571585660875307</v>
      </c>
      <c r="AK109">
        <v>860</v>
      </c>
      <c r="AL109">
        <v>800</v>
      </c>
      <c r="AM109">
        <v>755</v>
      </c>
      <c r="AN109">
        <v>0.878</v>
      </c>
      <c r="AO109">
        <v>31</v>
      </c>
      <c r="AP109">
        <v>12.455645161290301</v>
      </c>
    </row>
    <row r="110" spans="1:42" x14ac:dyDescent="0.35">
      <c r="A110" s="1">
        <v>45839</v>
      </c>
      <c r="B110" t="s">
        <v>2</v>
      </c>
      <c r="C110">
        <v>4867</v>
      </c>
      <c r="D110">
        <v>6115</v>
      </c>
      <c r="E110">
        <v>0.83686048900760202</v>
      </c>
      <c r="F110">
        <v>0.16313951099239801</v>
      </c>
      <c r="G110">
        <v>4073</v>
      </c>
      <c r="H110">
        <v>237</v>
      </c>
      <c r="I110">
        <v>208</v>
      </c>
      <c r="J110">
        <v>126</v>
      </c>
      <c r="K110">
        <v>122</v>
      </c>
      <c r="L110">
        <v>42</v>
      </c>
      <c r="M110">
        <v>59</v>
      </c>
      <c r="N110">
        <v>0.83686048900760202</v>
      </c>
      <c r="O110">
        <v>4.8695294842819002E-2</v>
      </c>
      <c r="P110">
        <v>4.2736798849393902E-2</v>
      </c>
      <c r="Q110">
        <v>2.58886377645367E-2</v>
      </c>
      <c r="R110">
        <v>2.5066776248202201E-2</v>
      </c>
      <c r="S110">
        <v>8.6295459215122196E-3</v>
      </c>
      <c r="T110">
        <v>1.21224573659338E-2</v>
      </c>
      <c r="U110">
        <v>0.298488664987406</v>
      </c>
      <c r="V110">
        <v>0.261964735516373</v>
      </c>
      <c r="W110">
        <v>0.158690176322418</v>
      </c>
      <c r="X110">
        <v>0.15365239294710301</v>
      </c>
      <c r="Y110">
        <v>5.2896725440806001E-2</v>
      </c>
      <c r="Z110">
        <v>7.4307304785894202E-2</v>
      </c>
      <c r="AA110">
        <v>237</v>
      </c>
      <c r="AB110">
        <v>496</v>
      </c>
      <c r="AC110">
        <v>626</v>
      </c>
      <c r="AD110">
        <v>1115</v>
      </c>
      <c r="AE110">
        <v>696</v>
      </c>
      <c r="AF110">
        <v>2945</v>
      </c>
      <c r="AG110">
        <v>1.25642079309636</v>
      </c>
      <c r="AH110">
        <v>7.7015113350125901</v>
      </c>
      <c r="AI110">
        <v>794</v>
      </c>
      <c r="AJ110">
        <v>16.313951099239802</v>
      </c>
      <c r="AK110">
        <v>1522</v>
      </c>
      <c r="AL110">
        <v>1522</v>
      </c>
      <c r="AM110">
        <v>1452</v>
      </c>
      <c r="AN110">
        <v>0.95399999999999996</v>
      </c>
      <c r="AO110">
        <v>31</v>
      </c>
      <c r="AP110">
        <v>12.960451019456601</v>
      </c>
    </row>
    <row r="111" spans="1:42" x14ac:dyDescent="0.35">
      <c r="A111" s="1">
        <v>45839</v>
      </c>
      <c r="B111" t="s">
        <v>4</v>
      </c>
      <c r="C111">
        <v>1962</v>
      </c>
      <c r="D111">
        <v>560</v>
      </c>
      <c r="E111">
        <v>0.88735983690112097</v>
      </c>
      <c r="F111">
        <v>0.112640163098879</v>
      </c>
      <c r="G111">
        <v>1741</v>
      </c>
      <c r="H111">
        <v>117</v>
      </c>
      <c r="I111">
        <v>59</v>
      </c>
      <c r="J111">
        <v>31</v>
      </c>
      <c r="K111">
        <v>10</v>
      </c>
      <c r="L111">
        <v>3</v>
      </c>
      <c r="M111">
        <v>1</v>
      </c>
      <c r="N111">
        <v>0.88735983690112097</v>
      </c>
      <c r="O111">
        <v>5.9633027522935797E-2</v>
      </c>
      <c r="P111">
        <v>3.0071355759429201E-2</v>
      </c>
      <c r="Q111">
        <v>1.5800203873598401E-2</v>
      </c>
      <c r="R111">
        <v>5.0968399592252796E-3</v>
      </c>
      <c r="S111">
        <v>1.52905198776758E-3</v>
      </c>
      <c r="T111">
        <v>5.0968399592252796E-4</v>
      </c>
      <c r="U111">
        <v>0.52941176470588203</v>
      </c>
      <c r="V111">
        <v>0.26696832579185498</v>
      </c>
      <c r="W111">
        <v>0.14027149321266999</v>
      </c>
      <c r="X111">
        <v>4.52488687782805E-2</v>
      </c>
      <c r="Y111">
        <v>1.35746606334842E-2</v>
      </c>
      <c r="Z111">
        <v>4.5248868778280504E-3</v>
      </c>
      <c r="AA111">
        <v>117</v>
      </c>
      <c r="AB111">
        <v>136</v>
      </c>
      <c r="AC111">
        <v>145</v>
      </c>
      <c r="AD111">
        <v>89</v>
      </c>
      <c r="AE111">
        <v>51</v>
      </c>
      <c r="AF111">
        <v>22</v>
      </c>
      <c r="AG111">
        <v>0.28542303771661598</v>
      </c>
      <c r="AH111">
        <v>2.5339366515837098</v>
      </c>
      <c r="AI111">
        <v>221</v>
      </c>
      <c r="AJ111">
        <v>11.2640163098879</v>
      </c>
      <c r="AK111">
        <v>419</v>
      </c>
      <c r="AL111">
        <v>402</v>
      </c>
      <c r="AM111">
        <v>397</v>
      </c>
      <c r="AN111">
        <v>0.94699999999999995</v>
      </c>
      <c r="AO111">
        <v>31</v>
      </c>
      <c r="AP111">
        <v>4.4936607286149899</v>
      </c>
    </row>
    <row r="112" spans="1:42" x14ac:dyDescent="0.35">
      <c r="A112" s="1">
        <v>45839</v>
      </c>
      <c r="B112" t="s">
        <v>0</v>
      </c>
      <c r="C112">
        <v>2205</v>
      </c>
      <c r="D112">
        <v>709</v>
      </c>
      <c r="E112">
        <v>0.93968253968254001</v>
      </c>
      <c r="F112">
        <v>6.0317460317460297E-2</v>
      </c>
      <c r="G112">
        <v>2072</v>
      </c>
      <c r="H112">
        <v>37</v>
      </c>
      <c r="I112">
        <v>35</v>
      </c>
      <c r="J112">
        <v>24</v>
      </c>
      <c r="K112">
        <v>22</v>
      </c>
      <c r="L112">
        <v>12</v>
      </c>
      <c r="M112">
        <v>3</v>
      </c>
      <c r="N112">
        <v>0.93968253968254001</v>
      </c>
      <c r="O112">
        <v>1.6780045351473899E-2</v>
      </c>
      <c r="P112">
        <v>1.58730158730159E-2</v>
      </c>
      <c r="Q112">
        <v>1.08843537414966E-2</v>
      </c>
      <c r="R112">
        <v>9.9773242630385502E-3</v>
      </c>
      <c r="S112">
        <v>5.4421768707482998E-3</v>
      </c>
      <c r="T112">
        <v>1.36054421768707E-3</v>
      </c>
      <c r="U112">
        <v>0.278195488721804</v>
      </c>
      <c r="V112">
        <v>0.26315789473684198</v>
      </c>
      <c r="W112">
        <v>0.180451127819549</v>
      </c>
      <c r="X112">
        <v>0.16541353383458601</v>
      </c>
      <c r="Y112">
        <v>9.0225563909774403E-2</v>
      </c>
      <c r="Z112">
        <v>2.2556390977443601E-2</v>
      </c>
      <c r="AA112">
        <v>37</v>
      </c>
      <c r="AB112">
        <v>82</v>
      </c>
      <c r="AC112">
        <v>121</v>
      </c>
      <c r="AD112">
        <v>196</v>
      </c>
      <c r="AE112">
        <v>186</v>
      </c>
      <c r="AF112">
        <v>87</v>
      </c>
      <c r="AG112">
        <v>0.32154195011337899</v>
      </c>
      <c r="AH112">
        <v>5.33082706766917</v>
      </c>
      <c r="AI112">
        <v>133</v>
      </c>
      <c r="AJ112">
        <v>6.0317460317460299</v>
      </c>
      <c r="AK112">
        <v>518</v>
      </c>
      <c r="AL112">
        <v>473</v>
      </c>
      <c r="AM112">
        <v>484</v>
      </c>
      <c r="AN112">
        <v>0.93300000000000005</v>
      </c>
      <c r="AO112">
        <v>31</v>
      </c>
      <c r="AP112">
        <v>4.8352997340244199</v>
      </c>
    </row>
    <row r="113" spans="1:42" x14ac:dyDescent="0.35">
      <c r="A113" s="1">
        <v>45839</v>
      </c>
      <c r="B113" t="s">
        <v>3</v>
      </c>
      <c r="C113">
        <v>2213</v>
      </c>
      <c r="D113">
        <v>1518</v>
      </c>
      <c r="E113">
        <v>0.82422051513782202</v>
      </c>
      <c r="F113">
        <v>0.17577948486217801</v>
      </c>
      <c r="G113">
        <v>1824</v>
      </c>
      <c r="H113">
        <v>157</v>
      </c>
      <c r="I113">
        <v>93</v>
      </c>
      <c r="J113">
        <v>67</v>
      </c>
      <c r="K113">
        <v>55</v>
      </c>
      <c r="L113">
        <v>15</v>
      </c>
      <c r="M113">
        <v>2</v>
      </c>
      <c r="N113">
        <v>0.82422051513782202</v>
      </c>
      <c r="O113">
        <v>7.0944419340262105E-2</v>
      </c>
      <c r="P113">
        <v>4.2024401265250803E-2</v>
      </c>
      <c r="Q113">
        <v>3.0275643922277499E-2</v>
      </c>
      <c r="R113">
        <v>2.48531405332128E-2</v>
      </c>
      <c r="S113">
        <v>6.77812923633077E-3</v>
      </c>
      <c r="T113">
        <v>9.0375056484410295E-4</v>
      </c>
      <c r="U113">
        <v>0.40359897172236497</v>
      </c>
      <c r="V113">
        <v>0.23907455012853501</v>
      </c>
      <c r="W113">
        <v>0.172236503856041</v>
      </c>
      <c r="X113">
        <v>0.14138817480719801</v>
      </c>
      <c r="Y113">
        <v>3.8560411311053998E-2</v>
      </c>
      <c r="Z113">
        <v>5.1413881748072002E-3</v>
      </c>
      <c r="AA113">
        <v>157</v>
      </c>
      <c r="AB113">
        <v>217</v>
      </c>
      <c r="AC113">
        <v>323</v>
      </c>
      <c r="AD113">
        <v>500</v>
      </c>
      <c r="AE113">
        <v>252</v>
      </c>
      <c r="AF113">
        <v>69</v>
      </c>
      <c r="AG113">
        <v>0.68594667871667403</v>
      </c>
      <c r="AH113">
        <v>3.9023136246786598</v>
      </c>
      <c r="AI113">
        <v>389</v>
      </c>
      <c r="AJ113">
        <v>17.577948486217799</v>
      </c>
      <c r="AK113">
        <v>447</v>
      </c>
      <c r="AL113">
        <v>432</v>
      </c>
      <c r="AM113">
        <v>412</v>
      </c>
      <c r="AN113">
        <v>0.92100000000000004</v>
      </c>
      <c r="AO113">
        <v>31</v>
      </c>
      <c r="AP113">
        <v>11.3351254480287</v>
      </c>
    </row>
    <row r="114" spans="1:42" x14ac:dyDescent="0.35">
      <c r="A114" s="1">
        <v>45870</v>
      </c>
      <c r="B114" t="s">
        <v>1</v>
      </c>
      <c r="C114">
        <v>1330</v>
      </c>
      <c r="D114">
        <v>1159</v>
      </c>
      <c r="E114">
        <v>0.848872180451128</v>
      </c>
      <c r="F114">
        <v>0.151127819548872</v>
      </c>
      <c r="G114">
        <v>1129</v>
      </c>
      <c r="H114">
        <v>61</v>
      </c>
      <c r="I114">
        <v>46</v>
      </c>
      <c r="J114">
        <v>40</v>
      </c>
      <c r="K114">
        <v>33</v>
      </c>
      <c r="L114">
        <v>11</v>
      </c>
      <c r="M114">
        <v>10</v>
      </c>
      <c r="N114">
        <v>0.848872180451128</v>
      </c>
      <c r="O114">
        <v>4.5864661654135302E-2</v>
      </c>
      <c r="P114">
        <v>3.4586466165413499E-2</v>
      </c>
      <c r="Q114">
        <v>3.00751879699248E-2</v>
      </c>
      <c r="R114">
        <v>2.4812030075188E-2</v>
      </c>
      <c r="S114">
        <v>8.2706766917293208E-3</v>
      </c>
      <c r="T114">
        <v>7.5187969924812E-3</v>
      </c>
      <c r="U114">
        <v>0.30348258706467701</v>
      </c>
      <c r="V114">
        <v>0.22885572139303501</v>
      </c>
      <c r="W114">
        <v>0.19900497512437801</v>
      </c>
      <c r="X114">
        <v>0.164179104477612</v>
      </c>
      <c r="Y114">
        <v>5.4726368159204002E-2</v>
      </c>
      <c r="Z114">
        <v>4.9751243781094502E-2</v>
      </c>
      <c r="AA114">
        <v>61</v>
      </c>
      <c r="AB114">
        <v>108</v>
      </c>
      <c r="AC114">
        <v>186</v>
      </c>
      <c r="AD114">
        <v>321</v>
      </c>
      <c r="AE114">
        <v>188</v>
      </c>
      <c r="AF114">
        <v>295</v>
      </c>
      <c r="AG114">
        <v>0.871428571428571</v>
      </c>
      <c r="AH114">
        <v>5.7661691542288596</v>
      </c>
      <c r="AI114">
        <v>201</v>
      </c>
      <c r="AJ114">
        <v>15.1127819548872</v>
      </c>
      <c r="AK114">
        <v>360</v>
      </c>
      <c r="AL114">
        <v>345</v>
      </c>
      <c r="AM114">
        <v>337</v>
      </c>
      <c r="AN114">
        <v>0.93600000000000005</v>
      </c>
      <c r="AO114">
        <v>31</v>
      </c>
      <c r="AP114">
        <v>10.8368396446938</v>
      </c>
    </row>
    <row r="115" spans="1:42" x14ac:dyDescent="0.35">
      <c r="A115" s="1">
        <v>45870</v>
      </c>
      <c r="B115" t="s">
        <v>5</v>
      </c>
      <c r="C115">
        <v>1107</v>
      </c>
      <c r="D115">
        <v>2093</v>
      </c>
      <c r="E115">
        <v>0.67028003613369502</v>
      </c>
      <c r="F115">
        <v>0.32971996386630498</v>
      </c>
      <c r="G115">
        <v>742</v>
      </c>
      <c r="H115">
        <v>112</v>
      </c>
      <c r="I115">
        <v>103</v>
      </c>
      <c r="J115">
        <v>69</v>
      </c>
      <c r="K115">
        <v>44</v>
      </c>
      <c r="L115">
        <v>15</v>
      </c>
      <c r="M115">
        <v>22</v>
      </c>
      <c r="N115">
        <v>0.67028003613369502</v>
      </c>
      <c r="O115">
        <v>0.10117434507678399</v>
      </c>
      <c r="P115">
        <v>9.3044263775971095E-2</v>
      </c>
      <c r="Q115">
        <v>6.2330623306233103E-2</v>
      </c>
      <c r="R115">
        <v>3.9747064137307997E-2</v>
      </c>
      <c r="S115">
        <v>1.3550135501355001E-2</v>
      </c>
      <c r="T115">
        <v>1.9873532068653998E-2</v>
      </c>
      <c r="U115">
        <v>0.306849315068493</v>
      </c>
      <c r="V115">
        <v>0.28219178082191798</v>
      </c>
      <c r="W115">
        <v>0.18904109589041099</v>
      </c>
      <c r="X115">
        <v>0.120547945205479</v>
      </c>
      <c r="Y115">
        <v>4.1095890410958902E-2</v>
      </c>
      <c r="Z115">
        <v>6.02739726027397E-2</v>
      </c>
      <c r="AA115">
        <v>112</v>
      </c>
      <c r="AB115">
        <v>249</v>
      </c>
      <c r="AC115">
        <v>337</v>
      </c>
      <c r="AD115">
        <v>417</v>
      </c>
      <c r="AE115">
        <v>243</v>
      </c>
      <c r="AF115">
        <v>735</v>
      </c>
      <c r="AG115">
        <v>1.8906955736224</v>
      </c>
      <c r="AH115">
        <v>5.7342465753424703</v>
      </c>
      <c r="AI115">
        <v>365</v>
      </c>
      <c r="AJ115">
        <v>32.971996386630501</v>
      </c>
      <c r="AK115">
        <v>392</v>
      </c>
      <c r="AL115">
        <v>392</v>
      </c>
      <c r="AM115">
        <v>360</v>
      </c>
      <c r="AN115">
        <v>0.92</v>
      </c>
      <c r="AO115">
        <v>31</v>
      </c>
      <c r="AP115">
        <v>17.223502304147502</v>
      </c>
    </row>
    <row r="116" spans="1:42" x14ac:dyDescent="0.35">
      <c r="A116" s="1">
        <v>45870</v>
      </c>
      <c r="B116" t="s">
        <v>6</v>
      </c>
      <c r="C116">
        <v>4037</v>
      </c>
      <c r="D116">
        <v>2928</v>
      </c>
      <c r="E116">
        <v>0.91726529601189</v>
      </c>
      <c r="F116">
        <v>8.2734703988110003E-2</v>
      </c>
      <c r="G116">
        <v>3703</v>
      </c>
      <c r="H116">
        <v>41</v>
      </c>
      <c r="I116">
        <v>62</v>
      </c>
      <c r="J116">
        <v>62</v>
      </c>
      <c r="K116">
        <v>114</v>
      </c>
      <c r="L116">
        <v>27</v>
      </c>
      <c r="M116">
        <v>28</v>
      </c>
      <c r="N116">
        <v>0.91726529601189</v>
      </c>
      <c r="O116">
        <v>1.0156056477582401E-2</v>
      </c>
      <c r="P116">
        <v>1.53579390636611E-2</v>
      </c>
      <c r="Q116">
        <v>1.53579390636611E-2</v>
      </c>
      <c r="R116">
        <v>2.8238791181570501E-2</v>
      </c>
      <c r="S116">
        <v>6.6881347535298497E-3</v>
      </c>
      <c r="T116">
        <v>6.9358434481050302E-3</v>
      </c>
      <c r="U116">
        <v>0.122754491017964</v>
      </c>
      <c r="V116">
        <v>0.18562874251497</v>
      </c>
      <c r="W116">
        <v>0.18562874251497</v>
      </c>
      <c r="X116">
        <v>0.34131736526946099</v>
      </c>
      <c r="Y116">
        <v>8.0838323353293398E-2</v>
      </c>
      <c r="Z116">
        <v>8.3832335329341298E-2</v>
      </c>
      <c r="AA116">
        <v>41</v>
      </c>
      <c r="AB116">
        <v>157</v>
      </c>
      <c r="AC116">
        <v>312</v>
      </c>
      <c r="AD116">
        <v>1020</v>
      </c>
      <c r="AE116">
        <v>445</v>
      </c>
      <c r="AF116">
        <v>953</v>
      </c>
      <c r="AG116">
        <v>0.72529105771612601</v>
      </c>
      <c r="AH116">
        <v>8.7664670658682606</v>
      </c>
      <c r="AI116">
        <v>334</v>
      </c>
      <c r="AJ116">
        <v>8.2734703988109999</v>
      </c>
      <c r="AK116">
        <v>856</v>
      </c>
      <c r="AL116">
        <v>796</v>
      </c>
      <c r="AM116">
        <v>745</v>
      </c>
      <c r="AN116">
        <v>0.87</v>
      </c>
      <c r="AO116">
        <v>31</v>
      </c>
      <c r="AP116">
        <v>11.8657805154806</v>
      </c>
    </row>
    <row r="117" spans="1:42" x14ac:dyDescent="0.35">
      <c r="A117" s="1">
        <v>45870</v>
      </c>
      <c r="B117" t="s">
        <v>2</v>
      </c>
      <c r="C117">
        <v>4603</v>
      </c>
      <c r="D117">
        <v>4609</v>
      </c>
      <c r="E117">
        <v>0.84944601346947601</v>
      </c>
      <c r="F117">
        <v>0.15055398653052399</v>
      </c>
      <c r="G117">
        <v>3910</v>
      </c>
      <c r="H117">
        <v>216</v>
      </c>
      <c r="I117">
        <v>160</v>
      </c>
      <c r="J117">
        <v>128</v>
      </c>
      <c r="K117">
        <v>110</v>
      </c>
      <c r="L117">
        <v>34</v>
      </c>
      <c r="M117">
        <v>45</v>
      </c>
      <c r="N117">
        <v>0.84944601346947601</v>
      </c>
      <c r="O117">
        <v>4.6925917879643703E-2</v>
      </c>
      <c r="P117">
        <v>3.4759939170106502E-2</v>
      </c>
      <c r="Q117">
        <v>2.7807951336085199E-2</v>
      </c>
      <c r="R117">
        <v>2.3897458179448199E-2</v>
      </c>
      <c r="S117">
        <v>7.3864870736476199E-3</v>
      </c>
      <c r="T117">
        <v>9.7762328915924398E-3</v>
      </c>
      <c r="U117">
        <v>0.31168831168831201</v>
      </c>
      <c r="V117">
        <v>0.23088023088023099</v>
      </c>
      <c r="W117">
        <v>0.18470418470418501</v>
      </c>
      <c r="X117">
        <v>0.158730158730159</v>
      </c>
      <c r="Y117">
        <v>4.9062049062049098E-2</v>
      </c>
      <c r="Z117">
        <v>6.4935064935064901E-2</v>
      </c>
      <c r="AA117">
        <v>216</v>
      </c>
      <c r="AB117">
        <v>387</v>
      </c>
      <c r="AC117">
        <v>625</v>
      </c>
      <c r="AD117">
        <v>1012</v>
      </c>
      <c r="AE117">
        <v>557</v>
      </c>
      <c r="AF117">
        <v>1812</v>
      </c>
      <c r="AG117">
        <v>1.0013034977188799</v>
      </c>
      <c r="AH117">
        <v>6.6507936507936503</v>
      </c>
      <c r="AI117">
        <v>693</v>
      </c>
      <c r="AJ117">
        <v>15.0553986530524</v>
      </c>
      <c r="AK117">
        <v>1490</v>
      </c>
      <c r="AL117">
        <v>1490</v>
      </c>
      <c r="AM117">
        <v>1404</v>
      </c>
      <c r="AN117">
        <v>0.94199999999999995</v>
      </c>
      <c r="AO117">
        <v>31</v>
      </c>
      <c r="AP117">
        <v>9.9783502922710507</v>
      </c>
    </row>
    <row r="118" spans="1:42" x14ac:dyDescent="0.35">
      <c r="A118" s="1">
        <v>45870</v>
      </c>
      <c r="B118" t="s">
        <v>4</v>
      </c>
      <c r="C118">
        <v>1721</v>
      </c>
      <c r="D118">
        <v>381</v>
      </c>
      <c r="E118">
        <v>0.90703079604880898</v>
      </c>
      <c r="F118">
        <v>9.2969203951191196E-2</v>
      </c>
      <c r="G118">
        <v>1561</v>
      </c>
      <c r="H118">
        <v>83</v>
      </c>
      <c r="I118">
        <v>45</v>
      </c>
      <c r="J118">
        <v>24</v>
      </c>
      <c r="K118">
        <v>7</v>
      </c>
      <c r="L118">
        <v>1</v>
      </c>
      <c r="M118">
        <v>0</v>
      </c>
      <c r="N118">
        <v>0.90703079604880898</v>
      </c>
      <c r="O118">
        <v>4.8227774549680399E-2</v>
      </c>
      <c r="P118">
        <v>2.6147588611272501E-2</v>
      </c>
      <c r="Q118">
        <v>1.39453805926787E-2</v>
      </c>
      <c r="R118">
        <v>4.0674026728646099E-3</v>
      </c>
      <c r="S118">
        <v>5.8105752469494499E-4</v>
      </c>
      <c r="T118">
        <v>0</v>
      </c>
      <c r="U118">
        <v>0.51875000000000004</v>
      </c>
      <c r="V118">
        <v>0.28125</v>
      </c>
      <c r="W118">
        <v>0.15</v>
      </c>
      <c r="X118">
        <v>4.3749999999999997E-2</v>
      </c>
      <c r="Y118">
        <v>6.2500000000000003E-3</v>
      </c>
      <c r="Z118">
        <v>0</v>
      </c>
      <c r="AA118">
        <v>83</v>
      </c>
      <c r="AB118">
        <v>113</v>
      </c>
      <c r="AC118">
        <v>114</v>
      </c>
      <c r="AD118">
        <v>57</v>
      </c>
      <c r="AE118">
        <v>14</v>
      </c>
      <c r="AF118">
        <v>0</v>
      </c>
      <c r="AG118">
        <v>0.22138291690877401</v>
      </c>
      <c r="AH118">
        <v>2.3812500000000001</v>
      </c>
      <c r="AI118">
        <v>160</v>
      </c>
      <c r="AJ118">
        <v>9.2969203951191197</v>
      </c>
      <c r="AK118">
        <v>418</v>
      </c>
      <c r="AL118">
        <v>401</v>
      </c>
      <c r="AM118">
        <v>387</v>
      </c>
      <c r="AN118">
        <v>0.92700000000000005</v>
      </c>
      <c r="AO118">
        <v>31</v>
      </c>
      <c r="AP118">
        <v>3.0649183492880701</v>
      </c>
    </row>
    <row r="119" spans="1:42" x14ac:dyDescent="0.35">
      <c r="A119" s="1">
        <v>45870</v>
      </c>
      <c r="B119" t="s">
        <v>0</v>
      </c>
      <c r="C119">
        <v>2017</v>
      </c>
      <c r="D119">
        <v>602</v>
      </c>
      <c r="E119">
        <v>0.94546355974219098</v>
      </c>
      <c r="F119">
        <v>5.4536440257808599E-2</v>
      </c>
      <c r="G119">
        <v>1907</v>
      </c>
      <c r="H119">
        <v>27</v>
      </c>
      <c r="I119">
        <v>26</v>
      </c>
      <c r="J119">
        <v>31</v>
      </c>
      <c r="K119">
        <v>16</v>
      </c>
      <c r="L119">
        <v>5</v>
      </c>
      <c r="M119">
        <v>5</v>
      </c>
      <c r="N119">
        <v>0.94546355974219098</v>
      </c>
      <c r="O119">
        <v>1.33862171541894E-2</v>
      </c>
      <c r="P119">
        <v>1.2890431333663899E-2</v>
      </c>
      <c r="Q119">
        <v>1.53693604362915E-2</v>
      </c>
      <c r="R119">
        <v>7.9325731284085304E-3</v>
      </c>
      <c r="S119">
        <v>2.4789291026276598E-3</v>
      </c>
      <c r="T119">
        <v>2.4789291026276598E-3</v>
      </c>
      <c r="U119">
        <v>0.24545454545454501</v>
      </c>
      <c r="V119">
        <v>0.236363636363636</v>
      </c>
      <c r="W119">
        <v>0.28181818181818202</v>
      </c>
      <c r="X119">
        <v>0.145454545454545</v>
      </c>
      <c r="Y119">
        <v>4.5454545454545497E-2</v>
      </c>
      <c r="Z119">
        <v>4.5454545454545497E-2</v>
      </c>
      <c r="AA119">
        <v>27</v>
      </c>
      <c r="AB119">
        <v>59</v>
      </c>
      <c r="AC119">
        <v>149</v>
      </c>
      <c r="AD119">
        <v>152</v>
      </c>
      <c r="AE119">
        <v>75</v>
      </c>
      <c r="AF119">
        <v>140</v>
      </c>
      <c r="AG119">
        <v>0.29846306395637101</v>
      </c>
      <c r="AH119">
        <v>5.47272727272727</v>
      </c>
      <c r="AI119">
        <v>110</v>
      </c>
      <c r="AJ119">
        <v>5.4536440257808598</v>
      </c>
      <c r="AK119">
        <v>519</v>
      </c>
      <c r="AL119">
        <v>474</v>
      </c>
      <c r="AM119">
        <v>482</v>
      </c>
      <c r="AN119">
        <v>0.93</v>
      </c>
      <c r="AO119">
        <v>31</v>
      </c>
      <c r="AP119">
        <v>4.0969103035252497</v>
      </c>
    </row>
    <row r="120" spans="1:42" x14ac:dyDescent="0.35">
      <c r="A120" s="1">
        <v>45870</v>
      </c>
      <c r="B120" t="s">
        <v>3</v>
      </c>
      <c r="C120">
        <v>2045</v>
      </c>
      <c r="D120">
        <v>1019</v>
      </c>
      <c r="E120">
        <v>0.85085574572127098</v>
      </c>
      <c r="F120">
        <v>0.14914425427872899</v>
      </c>
      <c r="G120">
        <v>1740</v>
      </c>
      <c r="H120">
        <v>125</v>
      </c>
      <c r="I120">
        <v>92</v>
      </c>
      <c r="J120">
        <v>48</v>
      </c>
      <c r="K120">
        <v>30</v>
      </c>
      <c r="L120">
        <v>7</v>
      </c>
      <c r="M120">
        <v>3</v>
      </c>
      <c r="N120">
        <v>0.85085574572127098</v>
      </c>
      <c r="O120">
        <v>6.1124694376528101E-2</v>
      </c>
      <c r="P120">
        <v>4.4987775061124703E-2</v>
      </c>
      <c r="Q120">
        <v>2.3471882640586798E-2</v>
      </c>
      <c r="R120">
        <v>1.46699266503667E-2</v>
      </c>
      <c r="S120">
        <v>3.4229828850855701E-3</v>
      </c>
      <c r="T120">
        <v>1.4669926650366699E-3</v>
      </c>
      <c r="U120">
        <v>0.409836065573771</v>
      </c>
      <c r="V120">
        <v>0.30163934426229499</v>
      </c>
      <c r="W120">
        <v>0.15737704918032799</v>
      </c>
      <c r="X120">
        <v>9.8360655737704902E-2</v>
      </c>
      <c r="Y120">
        <v>2.2950819672131102E-2</v>
      </c>
      <c r="Z120">
        <v>9.8360655737704892E-3</v>
      </c>
      <c r="AA120">
        <v>125</v>
      </c>
      <c r="AB120">
        <v>222</v>
      </c>
      <c r="AC120">
        <v>226</v>
      </c>
      <c r="AD120">
        <v>266</v>
      </c>
      <c r="AE120">
        <v>104</v>
      </c>
      <c r="AF120">
        <v>76</v>
      </c>
      <c r="AG120">
        <v>0.49828850855745699</v>
      </c>
      <c r="AH120">
        <v>3.3409836065573799</v>
      </c>
      <c r="AI120">
        <v>305</v>
      </c>
      <c r="AJ120">
        <v>14.914425427872899</v>
      </c>
      <c r="AK120">
        <v>441</v>
      </c>
      <c r="AL120">
        <v>426</v>
      </c>
      <c r="AM120">
        <v>398</v>
      </c>
      <c r="AN120">
        <v>0.90100000000000002</v>
      </c>
      <c r="AO120">
        <v>31</v>
      </c>
      <c r="AP120">
        <v>7.7161896107829797</v>
      </c>
    </row>
    <row r="121" spans="1:42" x14ac:dyDescent="0.35">
      <c r="A121" s="1">
        <v>45901</v>
      </c>
      <c r="B121" t="s">
        <v>1</v>
      </c>
      <c r="C121">
        <v>1275</v>
      </c>
      <c r="D121">
        <v>960</v>
      </c>
      <c r="E121">
        <v>0.86980392156862696</v>
      </c>
      <c r="F121">
        <v>0.13019607843137301</v>
      </c>
      <c r="G121">
        <v>1109</v>
      </c>
      <c r="H121">
        <v>53</v>
      </c>
      <c r="I121">
        <v>30</v>
      </c>
      <c r="J121">
        <v>28</v>
      </c>
      <c r="K121">
        <v>34</v>
      </c>
      <c r="L121">
        <v>16</v>
      </c>
      <c r="M121">
        <v>5</v>
      </c>
      <c r="N121">
        <v>0.86980392156862696</v>
      </c>
      <c r="O121">
        <v>4.1568627450980403E-2</v>
      </c>
      <c r="P121">
        <v>2.3529411764705899E-2</v>
      </c>
      <c r="Q121">
        <v>2.1960784313725501E-2</v>
      </c>
      <c r="R121">
        <v>2.66666666666667E-2</v>
      </c>
      <c r="S121">
        <v>1.25490196078431E-2</v>
      </c>
      <c r="T121">
        <v>3.9215686274509803E-3</v>
      </c>
      <c r="U121">
        <v>0.31927710843373502</v>
      </c>
      <c r="V121">
        <v>0.180722891566265</v>
      </c>
      <c r="W121">
        <v>0.16867469879518099</v>
      </c>
      <c r="X121">
        <v>0.20481927710843401</v>
      </c>
      <c r="Y121">
        <v>9.6385542168674704E-2</v>
      </c>
      <c r="Z121">
        <v>3.0120481927710802E-2</v>
      </c>
      <c r="AA121">
        <v>53</v>
      </c>
      <c r="AB121">
        <v>73</v>
      </c>
      <c r="AC121">
        <v>138</v>
      </c>
      <c r="AD121">
        <v>312</v>
      </c>
      <c r="AE121">
        <v>254</v>
      </c>
      <c r="AF121">
        <v>130</v>
      </c>
      <c r="AG121">
        <v>0.752941176470588</v>
      </c>
      <c r="AH121">
        <v>5.7831325301204801</v>
      </c>
      <c r="AI121">
        <v>166</v>
      </c>
      <c r="AJ121">
        <v>13.019607843137299</v>
      </c>
      <c r="AK121">
        <v>365</v>
      </c>
      <c r="AL121">
        <v>350</v>
      </c>
      <c r="AM121">
        <v>346</v>
      </c>
      <c r="AN121">
        <v>0.94799999999999995</v>
      </c>
      <c r="AO121">
        <v>30</v>
      </c>
      <c r="AP121">
        <v>9.1428571428571406</v>
      </c>
    </row>
    <row r="122" spans="1:42" x14ac:dyDescent="0.35">
      <c r="A122" s="1">
        <v>45901</v>
      </c>
      <c r="B122" t="s">
        <v>5</v>
      </c>
      <c r="C122">
        <v>1199</v>
      </c>
      <c r="D122">
        <v>2336</v>
      </c>
      <c r="E122">
        <v>0.67889908256880704</v>
      </c>
      <c r="F122">
        <v>0.32110091743119301</v>
      </c>
      <c r="G122">
        <v>814</v>
      </c>
      <c r="H122">
        <v>116</v>
      </c>
      <c r="I122">
        <v>111</v>
      </c>
      <c r="J122">
        <v>75</v>
      </c>
      <c r="K122">
        <v>44</v>
      </c>
      <c r="L122">
        <v>13</v>
      </c>
      <c r="M122">
        <v>26</v>
      </c>
      <c r="N122">
        <v>0.67889908256880704</v>
      </c>
      <c r="O122">
        <v>9.6747289407839901E-2</v>
      </c>
      <c r="P122">
        <v>9.2577147623019204E-2</v>
      </c>
      <c r="Q122">
        <v>6.2552126772310299E-2</v>
      </c>
      <c r="R122">
        <v>3.6697247706422E-2</v>
      </c>
      <c r="S122">
        <v>1.0842368640533799E-2</v>
      </c>
      <c r="T122">
        <v>2.1684737281067599E-2</v>
      </c>
      <c r="U122">
        <v>0.30129870129870101</v>
      </c>
      <c r="V122">
        <v>0.28831168831168802</v>
      </c>
      <c r="W122">
        <v>0.19480519480519501</v>
      </c>
      <c r="X122">
        <v>0.114285714285714</v>
      </c>
      <c r="Y122">
        <v>3.3766233766233798E-2</v>
      </c>
      <c r="Z122">
        <v>6.7532467532467499E-2</v>
      </c>
      <c r="AA122">
        <v>116</v>
      </c>
      <c r="AB122">
        <v>265</v>
      </c>
      <c r="AC122">
        <v>357</v>
      </c>
      <c r="AD122">
        <v>402</v>
      </c>
      <c r="AE122">
        <v>213</v>
      </c>
      <c r="AF122">
        <v>983</v>
      </c>
      <c r="AG122">
        <v>1.94829024186822</v>
      </c>
      <c r="AH122">
        <v>6.0675324675324704</v>
      </c>
      <c r="AI122">
        <v>385</v>
      </c>
      <c r="AJ122">
        <v>32.110091743119298</v>
      </c>
      <c r="AK122">
        <v>391</v>
      </c>
      <c r="AL122">
        <v>391</v>
      </c>
      <c r="AM122">
        <v>375</v>
      </c>
      <c r="AN122">
        <v>0.95899999999999996</v>
      </c>
      <c r="AO122">
        <v>30</v>
      </c>
      <c r="AP122">
        <v>19.914748508098899</v>
      </c>
    </row>
    <row r="123" spans="1:42" x14ac:dyDescent="0.35">
      <c r="A123" s="1">
        <v>45901</v>
      </c>
      <c r="B123" t="s">
        <v>6</v>
      </c>
      <c r="C123">
        <v>4140</v>
      </c>
      <c r="D123">
        <v>3145</v>
      </c>
      <c r="E123">
        <v>0.913768115942029</v>
      </c>
      <c r="F123">
        <v>8.6231884057970998E-2</v>
      </c>
      <c r="G123">
        <v>3783</v>
      </c>
      <c r="H123">
        <v>49</v>
      </c>
      <c r="I123">
        <v>71</v>
      </c>
      <c r="J123">
        <v>66</v>
      </c>
      <c r="K123">
        <v>104</v>
      </c>
      <c r="L123">
        <v>36</v>
      </c>
      <c r="M123">
        <v>31</v>
      </c>
      <c r="N123">
        <v>0.913768115942029</v>
      </c>
      <c r="O123">
        <v>1.1835748792270499E-2</v>
      </c>
      <c r="P123">
        <v>1.7149758454106299E-2</v>
      </c>
      <c r="Q123">
        <v>1.5942028985507201E-2</v>
      </c>
      <c r="R123">
        <v>2.5120772946859899E-2</v>
      </c>
      <c r="S123">
        <v>8.6956521739130401E-3</v>
      </c>
      <c r="T123">
        <v>7.4879227053140096E-3</v>
      </c>
      <c r="U123">
        <v>0.13725490196078399</v>
      </c>
      <c r="V123">
        <v>0.198879551820728</v>
      </c>
      <c r="W123">
        <v>0.184873949579832</v>
      </c>
      <c r="X123">
        <v>0.291316526610644</v>
      </c>
      <c r="Y123">
        <v>0.10084033613445401</v>
      </c>
      <c r="Z123">
        <v>8.6834733893557406E-2</v>
      </c>
      <c r="AA123">
        <v>49</v>
      </c>
      <c r="AB123">
        <v>181</v>
      </c>
      <c r="AC123">
        <v>334</v>
      </c>
      <c r="AD123">
        <v>943</v>
      </c>
      <c r="AE123">
        <v>604</v>
      </c>
      <c r="AF123">
        <v>1034</v>
      </c>
      <c r="AG123">
        <v>0.75966183574879198</v>
      </c>
      <c r="AH123">
        <v>8.8095238095238102</v>
      </c>
      <c r="AI123">
        <v>357</v>
      </c>
      <c r="AJ123">
        <v>8.6231884057970998</v>
      </c>
      <c r="AK123">
        <v>857</v>
      </c>
      <c r="AL123">
        <v>797</v>
      </c>
      <c r="AM123">
        <v>766</v>
      </c>
      <c r="AN123">
        <v>0.89400000000000002</v>
      </c>
      <c r="AO123">
        <v>30</v>
      </c>
      <c r="AP123">
        <v>13.1534922626516</v>
      </c>
    </row>
    <row r="124" spans="1:42" x14ac:dyDescent="0.35">
      <c r="A124" s="1">
        <v>45901</v>
      </c>
      <c r="B124" t="s">
        <v>2</v>
      </c>
      <c r="C124">
        <v>4445</v>
      </c>
      <c r="D124">
        <v>4805</v>
      </c>
      <c r="E124">
        <v>0.837795275590551</v>
      </c>
      <c r="F124">
        <v>0.162204724409449</v>
      </c>
      <c r="G124">
        <v>3724</v>
      </c>
      <c r="H124">
        <v>221</v>
      </c>
      <c r="I124">
        <v>153</v>
      </c>
      <c r="J124">
        <v>144</v>
      </c>
      <c r="K124">
        <v>120</v>
      </c>
      <c r="L124">
        <v>28</v>
      </c>
      <c r="M124">
        <v>55</v>
      </c>
      <c r="N124">
        <v>0.837795275590551</v>
      </c>
      <c r="O124">
        <v>4.9718785151856001E-2</v>
      </c>
      <c r="P124">
        <v>3.4420697412823401E-2</v>
      </c>
      <c r="Q124">
        <v>3.2395950506186703E-2</v>
      </c>
      <c r="R124">
        <v>2.6996625421822299E-2</v>
      </c>
      <c r="S124">
        <v>6.2992125984252002E-3</v>
      </c>
      <c r="T124">
        <v>1.23734533183352E-2</v>
      </c>
      <c r="U124">
        <v>0.30651872399445201</v>
      </c>
      <c r="V124">
        <v>0.21220527045769799</v>
      </c>
      <c r="W124">
        <v>0.199722607489598</v>
      </c>
      <c r="X124">
        <v>0.16643550624133099</v>
      </c>
      <c r="Y124">
        <v>3.8834951456310697E-2</v>
      </c>
      <c r="Z124">
        <v>7.6282940360610299E-2</v>
      </c>
      <c r="AA124">
        <v>221</v>
      </c>
      <c r="AB124">
        <v>365</v>
      </c>
      <c r="AC124">
        <v>691</v>
      </c>
      <c r="AD124">
        <v>1075</v>
      </c>
      <c r="AE124">
        <v>460</v>
      </c>
      <c r="AF124">
        <v>1993</v>
      </c>
      <c r="AG124">
        <v>1.0809898762654699</v>
      </c>
      <c r="AH124">
        <v>6.6643550624133097</v>
      </c>
      <c r="AI124">
        <v>721</v>
      </c>
      <c r="AJ124">
        <v>16.220472440944899</v>
      </c>
      <c r="AK124">
        <v>1507</v>
      </c>
      <c r="AL124">
        <v>1507</v>
      </c>
      <c r="AM124">
        <v>1452</v>
      </c>
      <c r="AN124">
        <v>0.96299999999999997</v>
      </c>
      <c r="AO124">
        <v>30</v>
      </c>
      <c r="AP124">
        <v>10.628179606281799</v>
      </c>
    </row>
    <row r="125" spans="1:42" x14ac:dyDescent="0.35">
      <c r="A125" s="1">
        <v>45901</v>
      </c>
      <c r="B125" t="s">
        <v>4</v>
      </c>
      <c r="C125">
        <v>1663</v>
      </c>
      <c r="D125">
        <v>301</v>
      </c>
      <c r="E125">
        <v>0.91521346963319306</v>
      </c>
      <c r="F125">
        <v>8.4786530366807E-2</v>
      </c>
      <c r="G125">
        <v>1522</v>
      </c>
      <c r="H125">
        <v>77</v>
      </c>
      <c r="I125">
        <v>42</v>
      </c>
      <c r="J125">
        <v>17</v>
      </c>
      <c r="K125">
        <v>5</v>
      </c>
      <c r="L125">
        <v>0</v>
      </c>
      <c r="M125">
        <v>0</v>
      </c>
      <c r="N125">
        <v>0.91521346963319306</v>
      </c>
      <c r="O125">
        <v>4.63018641010223E-2</v>
      </c>
      <c r="P125">
        <v>2.52555622369212E-2</v>
      </c>
      <c r="Q125">
        <v>1.02224894768491E-2</v>
      </c>
      <c r="R125">
        <v>3.0066145520144302E-3</v>
      </c>
      <c r="S125">
        <v>0</v>
      </c>
      <c r="T125">
        <v>0</v>
      </c>
      <c r="U125">
        <v>0.54609929078014197</v>
      </c>
      <c r="V125">
        <v>0.29787234042553201</v>
      </c>
      <c r="W125">
        <v>0.120567375886525</v>
      </c>
      <c r="X125">
        <v>3.54609929078014E-2</v>
      </c>
      <c r="Y125">
        <v>0</v>
      </c>
      <c r="Z125">
        <v>0</v>
      </c>
      <c r="AA125">
        <v>77</v>
      </c>
      <c r="AB125">
        <v>100</v>
      </c>
      <c r="AC125">
        <v>79</v>
      </c>
      <c r="AD125">
        <v>45</v>
      </c>
      <c r="AE125">
        <v>0</v>
      </c>
      <c r="AF125">
        <v>0</v>
      </c>
      <c r="AG125">
        <v>0.18099819603126899</v>
      </c>
      <c r="AH125">
        <v>2.1347517730496501</v>
      </c>
      <c r="AI125">
        <v>141</v>
      </c>
      <c r="AJ125">
        <v>8.4786530366807007</v>
      </c>
      <c r="AK125">
        <v>420</v>
      </c>
      <c r="AL125">
        <v>403</v>
      </c>
      <c r="AM125">
        <v>408</v>
      </c>
      <c r="AN125">
        <v>0.97199999999999998</v>
      </c>
      <c r="AO125">
        <v>30</v>
      </c>
      <c r="AP125">
        <v>2.4896608767576498</v>
      </c>
    </row>
    <row r="126" spans="1:42" x14ac:dyDescent="0.35">
      <c r="A126" s="1">
        <v>45901</v>
      </c>
      <c r="B126" t="s">
        <v>0</v>
      </c>
      <c r="C126">
        <v>2110</v>
      </c>
      <c r="D126">
        <v>654</v>
      </c>
      <c r="E126">
        <v>0.93791469194312804</v>
      </c>
      <c r="F126">
        <v>6.2085308056871999E-2</v>
      </c>
      <c r="G126">
        <v>1979</v>
      </c>
      <c r="H126">
        <v>36</v>
      </c>
      <c r="I126">
        <v>33</v>
      </c>
      <c r="J126">
        <v>36</v>
      </c>
      <c r="K126">
        <v>14</v>
      </c>
      <c r="L126">
        <v>7</v>
      </c>
      <c r="M126">
        <v>5</v>
      </c>
      <c r="N126">
        <v>0.93791469194312804</v>
      </c>
      <c r="O126">
        <v>1.70616113744076E-2</v>
      </c>
      <c r="P126">
        <v>1.56398104265403E-2</v>
      </c>
      <c r="Q126">
        <v>1.70616113744076E-2</v>
      </c>
      <c r="R126">
        <v>6.6350710900473899E-3</v>
      </c>
      <c r="S126">
        <v>3.3175355450237001E-3</v>
      </c>
      <c r="T126">
        <v>2.3696682464455E-3</v>
      </c>
      <c r="U126">
        <v>0.27480916030534402</v>
      </c>
      <c r="V126">
        <v>0.25190839694656503</v>
      </c>
      <c r="W126">
        <v>0.27480916030534402</v>
      </c>
      <c r="X126">
        <v>0.106870229007634</v>
      </c>
      <c r="Y126">
        <v>5.34351145038168E-2</v>
      </c>
      <c r="Z126">
        <v>3.8167938931297697E-2</v>
      </c>
      <c r="AA126">
        <v>36</v>
      </c>
      <c r="AB126">
        <v>83</v>
      </c>
      <c r="AC126">
        <v>173</v>
      </c>
      <c r="AD126">
        <v>132</v>
      </c>
      <c r="AE126">
        <v>109</v>
      </c>
      <c r="AF126">
        <v>121</v>
      </c>
      <c r="AG126">
        <v>0.30995260663507102</v>
      </c>
      <c r="AH126">
        <v>4.9923664122137401</v>
      </c>
      <c r="AI126">
        <v>131</v>
      </c>
      <c r="AJ126">
        <v>6.2085308056872002</v>
      </c>
      <c r="AK126">
        <v>511</v>
      </c>
      <c r="AL126">
        <v>466</v>
      </c>
      <c r="AM126">
        <v>482</v>
      </c>
      <c r="AN126">
        <v>0.94299999999999995</v>
      </c>
      <c r="AO126">
        <v>30</v>
      </c>
      <c r="AP126">
        <v>4.6781115879828299</v>
      </c>
    </row>
    <row r="127" spans="1:42" x14ac:dyDescent="0.35">
      <c r="A127" s="1">
        <v>45901</v>
      </c>
      <c r="B127" t="s">
        <v>3</v>
      </c>
      <c r="C127">
        <v>1945</v>
      </c>
      <c r="D127">
        <v>1190</v>
      </c>
      <c r="E127">
        <v>0.84575835475578398</v>
      </c>
      <c r="F127">
        <v>0.15424164524421599</v>
      </c>
      <c r="G127">
        <v>1645</v>
      </c>
      <c r="H127">
        <v>116</v>
      </c>
      <c r="I127">
        <v>90</v>
      </c>
      <c r="J127">
        <v>42</v>
      </c>
      <c r="K127">
        <v>35</v>
      </c>
      <c r="L127">
        <v>11</v>
      </c>
      <c r="M127">
        <v>6</v>
      </c>
      <c r="N127">
        <v>0.84575835475578398</v>
      </c>
      <c r="O127">
        <v>5.9640102827763497E-2</v>
      </c>
      <c r="P127">
        <v>4.6272493573264802E-2</v>
      </c>
      <c r="Q127">
        <v>2.1593830334190201E-2</v>
      </c>
      <c r="R127">
        <v>1.7994858611825201E-2</v>
      </c>
      <c r="S127">
        <v>5.6555269922879204E-3</v>
      </c>
      <c r="T127">
        <v>3.0848329048843198E-3</v>
      </c>
      <c r="U127">
        <v>0.38666666666666699</v>
      </c>
      <c r="V127">
        <v>0.3</v>
      </c>
      <c r="W127">
        <v>0.14000000000000001</v>
      </c>
      <c r="X127">
        <v>0.116666666666667</v>
      </c>
      <c r="Y127">
        <v>3.6666666666666702E-2</v>
      </c>
      <c r="Z127">
        <v>0.02</v>
      </c>
      <c r="AA127">
        <v>116</v>
      </c>
      <c r="AB127">
        <v>219</v>
      </c>
      <c r="AC127">
        <v>200</v>
      </c>
      <c r="AD127">
        <v>311</v>
      </c>
      <c r="AE127">
        <v>176</v>
      </c>
      <c r="AF127">
        <v>168</v>
      </c>
      <c r="AG127">
        <v>0.61182519280205705</v>
      </c>
      <c r="AH127">
        <v>3.9666666666666699</v>
      </c>
      <c r="AI127">
        <v>300</v>
      </c>
      <c r="AJ127">
        <v>15.424164524421601</v>
      </c>
      <c r="AK127">
        <v>460</v>
      </c>
      <c r="AL127">
        <v>445</v>
      </c>
      <c r="AM127">
        <v>431</v>
      </c>
      <c r="AN127">
        <v>0.93899999999999995</v>
      </c>
      <c r="AO127">
        <v>30</v>
      </c>
      <c r="AP127">
        <v>8.9138576779026195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18"/>
  <sheetViews>
    <sheetView workbookViewId="0"/>
  </sheetViews>
  <sheetFormatPr defaultColWidth="10.90625" defaultRowHeight="14.5" x14ac:dyDescent="0.35"/>
  <sheetData>
    <row r="1" spans="1:4" x14ac:dyDescent="0.35">
      <c r="A1" t="s">
        <v>7</v>
      </c>
      <c r="B1" t="s">
        <v>8</v>
      </c>
      <c r="C1" t="s">
        <v>237</v>
      </c>
      <c r="D1" t="s">
        <v>238</v>
      </c>
    </row>
    <row r="2" spans="1:4" x14ac:dyDescent="0.35">
      <c r="A2" t="s">
        <v>14</v>
      </c>
      <c r="B2" t="s">
        <v>76</v>
      </c>
      <c r="C2">
        <v>3058.6376599999999</v>
      </c>
      <c r="D2">
        <v>6288.1928399999997</v>
      </c>
    </row>
    <row r="3" spans="1:4" x14ac:dyDescent="0.35">
      <c r="A3" t="s">
        <v>14</v>
      </c>
      <c r="B3" t="s">
        <v>83</v>
      </c>
      <c r="C3">
        <v>2502.42965</v>
      </c>
      <c r="D3">
        <v>4435.0991700000004</v>
      </c>
    </row>
    <row r="4" spans="1:4" x14ac:dyDescent="0.35">
      <c r="A4" t="s">
        <v>14</v>
      </c>
      <c r="B4" t="s">
        <v>77</v>
      </c>
      <c r="C4">
        <v>1011.2317</v>
      </c>
      <c r="D4">
        <v>2154.6177600000001</v>
      </c>
    </row>
    <row r="5" spans="1:4" x14ac:dyDescent="0.35">
      <c r="A5" t="s">
        <v>14</v>
      </c>
      <c r="B5" t="s">
        <v>64</v>
      </c>
      <c r="C5">
        <v>1275.9758099999999</v>
      </c>
      <c r="D5">
        <v>2228.8440099999998</v>
      </c>
    </row>
    <row r="6" spans="1:4" x14ac:dyDescent="0.35">
      <c r="A6" t="s">
        <v>14</v>
      </c>
      <c r="B6" t="s">
        <v>45</v>
      </c>
      <c r="C6">
        <v>2974.6071400000001</v>
      </c>
      <c r="D6">
        <v>5044.6480199999996</v>
      </c>
    </row>
    <row r="7" spans="1:4" x14ac:dyDescent="0.35">
      <c r="A7" t="s">
        <v>14</v>
      </c>
      <c r="B7" t="s">
        <v>104</v>
      </c>
      <c r="C7">
        <v>559.69245000000001</v>
      </c>
      <c r="D7">
        <v>1145.8916300000001</v>
      </c>
    </row>
    <row r="8" spans="1:4" x14ac:dyDescent="0.35">
      <c r="A8" t="s">
        <v>14</v>
      </c>
      <c r="B8" t="s">
        <v>239</v>
      </c>
      <c r="C8">
        <v>623.70639000000006</v>
      </c>
      <c r="D8">
        <v>1353.1324199999999</v>
      </c>
    </row>
    <row r="9" spans="1:4" x14ac:dyDescent="0.35">
      <c r="A9" t="s">
        <v>14</v>
      </c>
      <c r="B9" t="s">
        <v>51</v>
      </c>
      <c r="C9">
        <v>1784.9359999999999</v>
      </c>
      <c r="D9">
        <v>3040.4676599999998</v>
      </c>
    </row>
    <row r="10" spans="1:4" x14ac:dyDescent="0.35">
      <c r="A10" t="s">
        <v>14</v>
      </c>
      <c r="B10" t="s">
        <v>108</v>
      </c>
      <c r="C10">
        <v>1777.4236900000001</v>
      </c>
      <c r="D10">
        <v>3102.5304299999998</v>
      </c>
    </row>
    <row r="11" spans="1:4" x14ac:dyDescent="0.35">
      <c r="A11" t="s">
        <v>14</v>
      </c>
      <c r="B11" t="s">
        <v>87</v>
      </c>
      <c r="C11">
        <v>551.68104000000005</v>
      </c>
      <c r="D11">
        <v>1125.55306</v>
      </c>
    </row>
    <row r="12" spans="1:4" x14ac:dyDescent="0.35">
      <c r="A12" t="s">
        <v>14</v>
      </c>
      <c r="B12" t="s">
        <v>103</v>
      </c>
      <c r="C12">
        <v>1369.5601099999999</v>
      </c>
      <c r="D12">
        <v>2131.0864099999999</v>
      </c>
    </row>
    <row r="13" spans="1:4" x14ac:dyDescent="0.35">
      <c r="A13" t="s">
        <v>14</v>
      </c>
      <c r="B13" t="s">
        <v>52</v>
      </c>
      <c r="C13">
        <v>497.1678</v>
      </c>
      <c r="D13">
        <v>916.70069999999998</v>
      </c>
    </row>
    <row r="14" spans="1:4" x14ac:dyDescent="0.35">
      <c r="A14" t="s">
        <v>14</v>
      </c>
      <c r="B14" t="s">
        <v>139</v>
      </c>
      <c r="C14">
        <v>2109.7540600000002</v>
      </c>
      <c r="D14">
        <v>3875.9231500000001</v>
      </c>
    </row>
    <row r="15" spans="1:4" x14ac:dyDescent="0.35">
      <c r="A15" t="s">
        <v>14</v>
      </c>
      <c r="B15" t="s">
        <v>240</v>
      </c>
      <c r="C15">
        <v>1506.4948400000001</v>
      </c>
      <c r="D15">
        <v>2721.80663</v>
      </c>
    </row>
    <row r="16" spans="1:4" x14ac:dyDescent="0.35">
      <c r="A16" t="s">
        <v>14</v>
      </c>
      <c r="B16" t="s">
        <v>78</v>
      </c>
      <c r="C16">
        <v>596.19623999999999</v>
      </c>
      <c r="D16">
        <v>1281.37598</v>
      </c>
    </row>
    <row r="17" spans="1:4" x14ac:dyDescent="0.35">
      <c r="A17" t="s">
        <v>14</v>
      </c>
      <c r="B17" t="s">
        <v>118</v>
      </c>
      <c r="C17">
        <v>877.70618999999999</v>
      </c>
      <c r="D17">
        <v>1713.40849</v>
      </c>
    </row>
    <row r="18" spans="1:4" x14ac:dyDescent="0.35">
      <c r="A18" t="s">
        <v>14</v>
      </c>
      <c r="B18" t="s">
        <v>53</v>
      </c>
      <c r="C18">
        <v>592.85693000000003</v>
      </c>
      <c r="D18">
        <v>1098.7691600000001</v>
      </c>
    </row>
    <row r="19" spans="1:4" x14ac:dyDescent="0.35">
      <c r="A19" t="s">
        <v>14</v>
      </c>
      <c r="B19" t="s">
        <v>79</v>
      </c>
      <c r="C19">
        <v>1530.7763500000001</v>
      </c>
      <c r="D19">
        <v>2631.4416299999998</v>
      </c>
    </row>
    <row r="20" spans="1:4" x14ac:dyDescent="0.35">
      <c r="A20" t="s">
        <v>14</v>
      </c>
      <c r="B20" t="s">
        <v>71</v>
      </c>
      <c r="C20">
        <v>1265.7274299999999</v>
      </c>
      <c r="D20">
        <v>2940.8815100000002</v>
      </c>
    </row>
    <row r="21" spans="1:4" x14ac:dyDescent="0.35">
      <c r="A21" t="s">
        <v>14</v>
      </c>
      <c r="B21" t="s">
        <v>48</v>
      </c>
      <c r="C21">
        <v>572.47549000000004</v>
      </c>
      <c r="D21">
        <v>1296.1560899999999</v>
      </c>
    </row>
    <row r="22" spans="1:4" x14ac:dyDescent="0.35">
      <c r="A22" t="s">
        <v>14</v>
      </c>
      <c r="B22" t="s">
        <v>85</v>
      </c>
      <c r="C22">
        <v>1228.67652</v>
      </c>
      <c r="D22">
        <v>2391.5955100000001</v>
      </c>
    </row>
    <row r="23" spans="1:4" x14ac:dyDescent="0.35">
      <c r="A23" t="s">
        <v>14</v>
      </c>
      <c r="B23" t="s">
        <v>93</v>
      </c>
      <c r="C23">
        <v>667.83645999999999</v>
      </c>
      <c r="D23">
        <v>1520.1594399999999</v>
      </c>
    </row>
    <row r="24" spans="1:4" x14ac:dyDescent="0.35">
      <c r="A24" t="s">
        <v>14</v>
      </c>
      <c r="B24" t="s">
        <v>59</v>
      </c>
      <c r="C24">
        <v>727.90830000000005</v>
      </c>
      <c r="D24">
        <v>1619.80683</v>
      </c>
    </row>
    <row r="25" spans="1:4" x14ac:dyDescent="0.35">
      <c r="A25" t="s">
        <v>14</v>
      </c>
      <c r="B25" t="s">
        <v>100</v>
      </c>
      <c r="C25">
        <v>458.86784999999998</v>
      </c>
      <c r="D25">
        <v>1037.5196800000001</v>
      </c>
    </row>
    <row r="26" spans="1:4" x14ac:dyDescent="0.35">
      <c r="A26" t="s">
        <v>14</v>
      </c>
      <c r="B26" t="s">
        <v>6</v>
      </c>
      <c r="C26">
        <v>995.89147000000003</v>
      </c>
      <c r="D26">
        <v>2129.9021899999998</v>
      </c>
    </row>
    <row r="27" spans="1:4" x14ac:dyDescent="0.35">
      <c r="A27" t="s">
        <v>14</v>
      </c>
      <c r="B27" t="s">
        <v>70</v>
      </c>
      <c r="C27">
        <v>1122.7472499999999</v>
      </c>
      <c r="D27">
        <v>3092.8249900000001</v>
      </c>
    </row>
    <row r="28" spans="1:4" x14ac:dyDescent="0.35">
      <c r="A28" t="s">
        <v>14</v>
      </c>
      <c r="B28" t="s">
        <v>63</v>
      </c>
      <c r="C28">
        <v>851.20484999999996</v>
      </c>
      <c r="D28">
        <v>1427.7955199999999</v>
      </c>
    </row>
    <row r="29" spans="1:4" x14ac:dyDescent="0.35">
      <c r="A29" t="s">
        <v>14</v>
      </c>
      <c r="B29" t="s">
        <v>117</v>
      </c>
      <c r="C29">
        <v>1175.3098199999999</v>
      </c>
      <c r="D29">
        <v>2197.51181</v>
      </c>
    </row>
    <row r="30" spans="1:4" x14ac:dyDescent="0.35">
      <c r="A30" t="s">
        <v>14</v>
      </c>
      <c r="B30" t="s">
        <v>47</v>
      </c>
      <c r="C30">
        <v>1611.8844999999999</v>
      </c>
      <c r="D30">
        <v>3350.1130199999998</v>
      </c>
    </row>
    <row r="31" spans="1:4" x14ac:dyDescent="0.35">
      <c r="A31" t="s">
        <v>14</v>
      </c>
      <c r="B31" t="s">
        <v>54</v>
      </c>
      <c r="C31">
        <v>385.28550000000001</v>
      </c>
      <c r="D31">
        <v>848.32101999999998</v>
      </c>
    </row>
    <row r="32" spans="1:4" x14ac:dyDescent="0.35">
      <c r="A32" t="s">
        <v>14</v>
      </c>
      <c r="B32" t="s">
        <v>43</v>
      </c>
      <c r="C32">
        <v>1124.89717</v>
      </c>
      <c r="D32">
        <v>2271.4095499999999</v>
      </c>
    </row>
    <row r="33" spans="1:4" x14ac:dyDescent="0.35">
      <c r="A33" t="s">
        <v>14</v>
      </c>
      <c r="B33" t="s">
        <v>95</v>
      </c>
      <c r="C33">
        <v>571.11874999999998</v>
      </c>
      <c r="D33">
        <v>1177.61645</v>
      </c>
    </row>
    <row r="34" spans="1:4" x14ac:dyDescent="0.35">
      <c r="A34" t="s">
        <v>14</v>
      </c>
      <c r="B34" t="s">
        <v>119</v>
      </c>
      <c r="C34">
        <v>1221.8041599999999</v>
      </c>
      <c r="D34">
        <v>2764.8589900000002</v>
      </c>
    </row>
    <row r="35" spans="1:4" x14ac:dyDescent="0.35">
      <c r="A35" t="s">
        <v>14</v>
      </c>
      <c r="B35" t="s">
        <v>124</v>
      </c>
      <c r="C35">
        <v>941.99415999999997</v>
      </c>
      <c r="D35">
        <v>1785.4646499999999</v>
      </c>
    </row>
    <row r="36" spans="1:4" x14ac:dyDescent="0.35">
      <c r="A36" t="s">
        <v>14</v>
      </c>
      <c r="B36" t="s">
        <v>102</v>
      </c>
      <c r="C36">
        <v>743.0915</v>
      </c>
      <c r="D36">
        <v>1318.33917</v>
      </c>
    </row>
    <row r="37" spans="1:4" x14ac:dyDescent="0.35">
      <c r="A37" t="s">
        <v>14</v>
      </c>
      <c r="B37" t="s">
        <v>62</v>
      </c>
      <c r="C37">
        <v>1296.79585</v>
      </c>
      <c r="D37">
        <v>2865.06196</v>
      </c>
    </row>
    <row r="38" spans="1:4" x14ac:dyDescent="0.35">
      <c r="A38" t="s">
        <v>14</v>
      </c>
      <c r="B38" t="s">
        <v>132</v>
      </c>
      <c r="C38">
        <v>748.02918999999997</v>
      </c>
      <c r="D38">
        <v>2010.0119099999999</v>
      </c>
    </row>
    <row r="39" spans="1:4" x14ac:dyDescent="0.35">
      <c r="A39" t="s">
        <v>14</v>
      </c>
      <c r="B39" t="s">
        <v>140</v>
      </c>
      <c r="C39">
        <v>2096.7766999999999</v>
      </c>
      <c r="D39">
        <v>3986.00945</v>
      </c>
    </row>
    <row r="40" spans="1:4" x14ac:dyDescent="0.35">
      <c r="A40" t="s">
        <v>14</v>
      </c>
      <c r="B40" t="s">
        <v>94</v>
      </c>
      <c r="C40">
        <v>927.17656999999997</v>
      </c>
      <c r="D40">
        <v>1890.5673899999999</v>
      </c>
    </row>
    <row r="41" spans="1:4" x14ac:dyDescent="0.35">
      <c r="A41" t="s">
        <v>14</v>
      </c>
      <c r="B41" t="s">
        <v>44</v>
      </c>
      <c r="C41">
        <v>247.15145999999999</v>
      </c>
      <c r="D41">
        <v>663.57329000000004</v>
      </c>
    </row>
    <row r="42" spans="1:4" x14ac:dyDescent="0.35">
      <c r="A42" t="s">
        <v>14</v>
      </c>
      <c r="B42" t="s">
        <v>74</v>
      </c>
      <c r="C42">
        <v>1175.8735999999999</v>
      </c>
      <c r="D42">
        <v>2485.8155999999999</v>
      </c>
    </row>
    <row r="43" spans="1:4" x14ac:dyDescent="0.35">
      <c r="A43" t="s">
        <v>14</v>
      </c>
      <c r="B43" t="s">
        <v>72</v>
      </c>
      <c r="C43">
        <v>1833.5875000000001</v>
      </c>
      <c r="D43">
        <v>3698.4544900000001</v>
      </c>
    </row>
    <row r="44" spans="1:4" x14ac:dyDescent="0.35">
      <c r="A44" t="s">
        <v>14</v>
      </c>
      <c r="B44" t="s">
        <v>137</v>
      </c>
      <c r="C44">
        <v>796.06313999999998</v>
      </c>
      <c r="D44">
        <v>1900.72048</v>
      </c>
    </row>
    <row r="45" spans="1:4" x14ac:dyDescent="0.35">
      <c r="A45" t="s">
        <v>14</v>
      </c>
      <c r="B45" t="s">
        <v>112</v>
      </c>
      <c r="C45">
        <v>2059.3471</v>
      </c>
      <c r="D45">
        <v>3937.3208199999999</v>
      </c>
    </row>
    <row r="46" spans="1:4" x14ac:dyDescent="0.35">
      <c r="A46" t="s">
        <v>14</v>
      </c>
      <c r="B46" t="s">
        <v>75</v>
      </c>
      <c r="C46">
        <v>832.57069999999999</v>
      </c>
      <c r="D46">
        <v>1765.9465600000001</v>
      </c>
    </row>
    <row r="47" spans="1:4" x14ac:dyDescent="0.35">
      <c r="A47" t="s">
        <v>14</v>
      </c>
      <c r="B47" t="s">
        <v>113</v>
      </c>
      <c r="C47">
        <v>677.12933999999996</v>
      </c>
      <c r="D47">
        <v>1168.0337500000001</v>
      </c>
    </row>
    <row r="48" spans="1:4" x14ac:dyDescent="0.35">
      <c r="A48" t="s">
        <v>14</v>
      </c>
      <c r="B48" t="s">
        <v>46</v>
      </c>
      <c r="C48">
        <v>728.78403000000003</v>
      </c>
      <c r="D48">
        <v>1273.4849099999999</v>
      </c>
    </row>
    <row r="49" spans="1:4" x14ac:dyDescent="0.35">
      <c r="A49" t="s">
        <v>14</v>
      </c>
      <c r="B49" t="s">
        <v>114</v>
      </c>
      <c r="C49">
        <v>654.59802000000002</v>
      </c>
      <c r="D49">
        <v>1318.27252</v>
      </c>
    </row>
    <row r="50" spans="1:4" x14ac:dyDescent="0.35">
      <c r="A50" t="s">
        <v>14</v>
      </c>
      <c r="B50" t="s">
        <v>128</v>
      </c>
      <c r="C50">
        <v>790.62777000000006</v>
      </c>
      <c r="D50">
        <v>1883.66353</v>
      </c>
    </row>
    <row r="51" spans="1:4" x14ac:dyDescent="0.35">
      <c r="A51" t="s">
        <v>14</v>
      </c>
      <c r="B51" t="s">
        <v>89</v>
      </c>
      <c r="C51">
        <v>403.82792000000001</v>
      </c>
      <c r="D51">
        <v>952.23027000000002</v>
      </c>
    </row>
    <row r="52" spans="1:4" x14ac:dyDescent="0.35">
      <c r="A52" t="s">
        <v>14</v>
      </c>
      <c r="B52" t="s">
        <v>241</v>
      </c>
      <c r="C52">
        <v>696.47139000000004</v>
      </c>
      <c r="D52">
        <v>1678.39111</v>
      </c>
    </row>
    <row r="53" spans="1:4" x14ac:dyDescent="0.35">
      <c r="A53" t="s">
        <v>14</v>
      </c>
      <c r="B53" t="s">
        <v>134</v>
      </c>
      <c r="C53">
        <v>870.57851000000005</v>
      </c>
      <c r="D53">
        <v>1941.64075</v>
      </c>
    </row>
    <row r="54" spans="1:4" x14ac:dyDescent="0.35">
      <c r="A54" t="s">
        <v>14</v>
      </c>
      <c r="B54" t="s">
        <v>107</v>
      </c>
      <c r="C54">
        <v>2929.75657</v>
      </c>
      <c r="D54">
        <v>5592.6356500000002</v>
      </c>
    </row>
    <row r="55" spans="1:4" x14ac:dyDescent="0.35">
      <c r="A55" t="s">
        <v>14</v>
      </c>
      <c r="B55" t="s">
        <v>67</v>
      </c>
      <c r="C55">
        <v>472.55372</v>
      </c>
      <c r="D55">
        <v>1115.12987</v>
      </c>
    </row>
    <row r="56" spans="1:4" x14ac:dyDescent="0.35">
      <c r="A56" t="s">
        <v>14</v>
      </c>
      <c r="B56" t="s">
        <v>111</v>
      </c>
      <c r="C56">
        <v>1577.2121400000001</v>
      </c>
      <c r="D56">
        <v>3378.8304499999999</v>
      </c>
    </row>
    <row r="57" spans="1:4" x14ac:dyDescent="0.35">
      <c r="A57" t="s">
        <v>14</v>
      </c>
      <c r="B57" t="s">
        <v>122</v>
      </c>
      <c r="C57">
        <v>1117.9817499999999</v>
      </c>
      <c r="D57">
        <v>2185.2407899999998</v>
      </c>
    </row>
    <row r="58" spans="1:4" x14ac:dyDescent="0.35">
      <c r="A58" t="s">
        <v>14</v>
      </c>
      <c r="B58" t="s">
        <v>123</v>
      </c>
      <c r="C58">
        <v>2270.7762299999999</v>
      </c>
      <c r="D58">
        <v>4394.58169</v>
      </c>
    </row>
    <row r="59" spans="1:4" x14ac:dyDescent="0.35">
      <c r="A59" t="s">
        <v>14</v>
      </c>
      <c r="B59" t="s">
        <v>80</v>
      </c>
      <c r="C59">
        <v>1492.98191</v>
      </c>
      <c r="D59">
        <v>3033.6453499999998</v>
      </c>
    </row>
    <row r="60" spans="1:4" x14ac:dyDescent="0.35">
      <c r="A60" t="s">
        <v>14</v>
      </c>
      <c r="B60" t="s">
        <v>138</v>
      </c>
      <c r="C60">
        <v>823.71857</v>
      </c>
      <c r="D60">
        <v>1753.85895</v>
      </c>
    </row>
    <row r="61" spans="1:4" x14ac:dyDescent="0.35">
      <c r="A61" t="s">
        <v>14</v>
      </c>
      <c r="B61" t="s">
        <v>98</v>
      </c>
      <c r="C61">
        <v>526.62175000000002</v>
      </c>
      <c r="D61">
        <v>1196.8999799999999</v>
      </c>
    </row>
    <row r="62" spans="1:4" x14ac:dyDescent="0.35">
      <c r="A62" t="s">
        <v>14</v>
      </c>
      <c r="B62" t="s">
        <v>99</v>
      </c>
      <c r="C62">
        <v>731.91575</v>
      </c>
      <c r="D62">
        <v>1446.7523699999999</v>
      </c>
    </row>
    <row r="63" spans="1:4" x14ac:dyDescent="0.35">
      <c r="A63" t="s">
        <v>14</v>
      </c>
      <c r="B63" t="s">
        <v>131</v>
      </c>
      <c r="C63">
        <v>2249.21369</v>
      </c>
      <c r="D63">
        <v>4870.7012800000002</v>
      </c>
    </row>
    <row r="64" spans="1:4" x14ac:dyDescent="0.35">
      <c r="A64" t="s">
        <v>14</v>
      </c>
      <c r="B64" t="s">
        <v>84</v>
      </c>
      <c r="C64">
        <v>682.41375000000005</v>
      </c>
      <c r="D64">
        <v>1378.7971199999999</v>
      </c>
    </row>
    <row r="65" spans="1:4" x14ac:dyDescent="0.35">
      <c r="A65" t="s">
        <v>14</v>
      </c>
      <c r="B65" t="s">
        <v>96</v>
      </c>
      <c r="C65">
        <v>697.65962000000002</v>
      </c>
      <c r="D65">
        <v>1648.98055</v>
      </c>
    </row>
    <row r="66" spans="1:4" x14ac:dyDescent="0.35">
      <c r="A66" t="s">
        <v>14</v>
      </c>
      <c r="B66" t="s">
        <v>88</v>
      </c>
      <c r="C66">
        <v>1173.68986</v>
      </c>
      <c r="D66">
        <v>2709.4117700000002</v>
      </c>
    </row>
    <row r="67" spans="1:4" x14ac:dyDescent="0.35">
      <c r="A67" t="s">
        <v>14</v>
      </c>
      <c r="B67" t="s">
        <v>0</v>
      </c>
      <c r="C67">
        <v>535.29423999999995</v>
      </c>
      <c r="D67">
        <v>1356.1214</v>
      </c>
    </row>
    <row r="68" spans="1:4" x14ac:dyDescent="0.35">
      <c r="A68" t="s">
        <v>14</v>
      </c>
      <c r="B68" t="s">
        <v>5</v>
      </c>
      <c r="C68">
        <v>357.16149999999999</v>
      </c>
      <c r="D68">
        <v>678.03646000000003</v>
      </c>
    </row>
    <row r="69" spans="1:4" x14ac:dyDescent="0.35">
      <c r="A69" t="s">
        <v>14</v>
      </c>
      <c r="B69" t="s">
        <v>4</v>
      </c>
      <c r="C69">
        <v>464.15219999999999</v>
      </c>
      <c r="D69">
        <v>1467.26765</v>
      </c>
    </row>
    <row r="70" spans="1:4" x14ac:dyDescent="0.35">
      <c r="A70" t="s">
        <v>14</v>
      </c>
      <c r="B70" t="s">
        <v>86</v>
      </c>
      <c r="C70">
        <v>1261.7161699999999</v>
      </c>
      <c r="D70">
        <v>2612.6337199999998</v>
      </c>
    </row>
    <row r="71" spans="1:4" x14ac:dyDescent="0.35">
      <c r="A71" t="s">
        <v>14</v>
      </c>
      <c r="B71" t="s">
        <v>50</v>
      </c>
      <c r="C71">
        <v>2131.9542200000001</v>
      </c>
      <c r="D71">
        <v>4181.7009600000001</v>
      </c>
    </row>
    <row r="72" spans="1:4" x14ac:dyDescent="0.35">
      <c r="A72" t="s">
        <v>14</v>
      </c>
      <c r="B72" t="s">
        <v>56</v>
      </c>
      <c r="C72">
        <v>1268.78656</v>
      </c>
      <c r="D72">
        <v>2198.9918899999998</v>
      </c>
    </row>
    <row r="73" spans="1:4" x14ac:dyDescent="0.35">
      <c r="A73" t="s">
        <v>14</v>
      </c>
      <c r="B73" t="s">
        <v>60</v>
      </c>
      <c r="C73">
        <v>513.27364999999998</v>
      </c>
      <c r="D73">
        <v>1019.32659</v>
      </c>
    </row>
    <row r="74" spans="1:4" x14ac:dyDescent="0.35">
      <c r="A74" t="s">
        <v>14</v>
      </c>
      <c r="B74" t="s">
        <v>61</v>
      </c>
      <c r="C74">
        <v>1219.8162</v>
      </c>
      <c r="D74">
        <v>2869.5197499999999</v>
      </c>
    </row>
    <row r="75" spans="1:4" x14ac:dyDescent="0.35">
      <c r="A75" t="s">
        <v>14</v>
      </c>
      <c r="B75" t="s">
        <v>3</v>
      </c>
      <c r="C75">
        <v>537.12594999999999</v>
      </c>
      <c r="D75">
        <v>1156.25415</v>
      </c>
    </row>
    <row r="76" spans="1:4" x14ac:dyDescent="0.35">
      <c r="A76" t="s">
        <v>14</v>
      </c>
      <c r="B76" t="s">
        <v>126</v>
      </c>
      <c r="C76">
        <v>929.46283000000005</v>
      </c>
      <c r="D76">
        <v>1602.96009</v>
      </c>
    </row>
    <row r="77" spans="1:4" x14ac:dyDescent="0.35">
      <c r="A77" t="s">
        <v>14</v>
      </c>
      <c r="B77" t="s">
        <v>242</v>
      </c>
      <c r="C77">
        <v>589.01012000000003</v>
      </c>
      <c r="D77">
        <v>1022.57541</v>
      </c>
    </row>
    <row r="78" spans="1:4" x14ac:dyDescent="0.35">
      <c r="A78" t="s">
        <v>14</v>
      </c>
      <c r="B78" t="s">
        <v>125</v>
      </c>
      <c r="C78">
        <v>730.22956999999997</v>
      </c>
      <c r="D78">
        <v>1530.9096999999999</v>
      </c>
    </row>
    <row r="79" spans="1:4" x14ac:dyDescent="0.35">
      <c r="A79" t="s">
        <v>14</v>
      </c>
      <c r="B79" t="s">
        <v>68</v>
      </c>
      <c r="C79">
        <v>416.75170000000003</v>
      </c>
      <c r="D79">
        <v>974.15265999999997</v>
      </c>
    </row>
    <row r="80" spans="1:4" x14ac:dyDescent="0.35">
      <c r="A80" t="s">
        <v>14</v>
      </c>
      <c r="B80" t="s">
        <v>90</v>
      </c>
      <c r="C80">
        <v>1228.0734199999999</v>
      </c>
      <c r="D80">
        <v>2221.7382899999998</v>
      </c>
    </row>
    <row r="81" spans="1:4" x14ac:dyDescent="0.35">
      <c r="A81" t="s">
        <v>14</v>
      </c>
      <c r="B81" t="s">
        <v>243</v>
      </c>
      <c r="C81">
        <v>465.97021000000001</v>
      </c>
      <c r="D81">
        <v>904.84664999999995</v>
      </c>
    </row>
    <row r="82" spans="1:4" x14ac:dyDescent="0.35">
      <c r="A82" t="s">
        <v>14</v>
      </c>
      <c r="B82" t="s">
        <v>69</v>
      </c>
      <c r="C82">
        <v>1669.3695600000001</v>
      </c>
      <c r="D82">
        <v>3404.3016600000001</v>
      </c>
    </row>
    <row r="83" spans="1:4" x14ac:dyDescent="0.35">
      <c r="A83" t="s">
        <v>14</v>
      </c>
      <c r="B83" t="s">
        <v>244</v>
      </c>
      <c r="C83">
        <v>949.17745000000002</v>
      </c>
      <c r="D83">
        <v>1992.0911599999999</v>
      </c>
    </row>
    <row r="84" spans="1:4" x14ac:dyDescent="0.35">
      <c r="A84" t="s">
        <v>14</v>
      </c>
      <c r="B84" t="s">
        <v>245</v>
      </c>
      <c r="C84">
        <v>639.94209999999998</v>
      </c>
      <c r="D84">
        <v>2306.90672</v>
      </c>
    </row>
    <row r="85" spans="1:4" x14ac:dyDescent="0.35">
      <c r="A85" t="s">
        <v>14</v>
      </c>
      <c r="B85" t="s">
        <v>246</v>
      </c>
      <c r="C85">
        <v>959.02671999999995</v>
      </c>
      <c r="D85">
        <v>2561.6467299999999</v>
      </c>
    </row>
    <row r="86" spans="1:4" x14ac:dyDescent="0.35">
      <c r="A86" t="s">
        <v>14</v>
      </c>
      <c r="B86" t="s">
        <v>135</v>
      </c>
      <c r="C86">
        <v>1045.20334</v>
      </c>
      <c r="D86">
        <v>2400.5789399999999</v>
      </c>
    </row>
    <row r="87" spans="1:4" x14ac:dyDescent="0.35">
      <c r="A87" t="s">
        <v>14</v>
      </c>
      <c r="B87" t="s">
        <v>116</v>
      </c>
      <c r="C87">
        <v>637.22940000000006</v>
      </c>
      <c r="D87">
        <v>1939.92418</v>
      </c>
    </row>
    <row r="88" spans="1:4" x14ac:dyDescent="0.35">
      <c r="A88" t="s">
        <v>14</v>
      </c>
      <c r="B88" t="s">
        <v>247</v>
      </c>
      <c r="C88">
        <v>597.98455999999999</v>
      </c>
      <c r="D88">
        <v>1708.4531199999999</v>
      </c>
    </row>
    <row r="89" spans="1:4" x14ac:dyDescent="0.35">
      <c r="A89" t="s">
        <v>14</v>
      </c>
      <c r="B89" t="s">
        <v>41</v>
      </c>
      <c r="C89">
        <v>3503.13652</v>
      </c>
      <c r="D89">
        <v>8255.5597799999996</v>
      </c>
    </row>
    <row r="90" spans="1:4" x14ac:dyDescent="0.35">
      <c r="A90" t="s">
        <v>14</v>
      </c>
      <c r="B90" t="s">
        <v>91</v>
      </c>
      <c r="C90">
        <v>1958.23883</v>
      </c>
      <c r="D90">
        <v>5196.2872200000002</v>
      </c>
    </row>
    <row r="91" spans="1:4" x14ac:dyDescent="0.35">
      <c r="A91" t="s">
        <v>14</v>
      </c>
      <c r="B91" t="s">
        <v>127</v>
      </c>
      <c r="C91">
        <v>620.11580000000004</v>
      </c>
      <c r="D91">
        <v>1575.4440099999999</v>
      </c>
    </row>
    <row r="92" spans="1:4" x14ac:dyDescent="0.35">
      <c r="A92" t="s">
        <v>14</v>
      </c>
      <c r="B92" t="s">
        <v>92</v>
      </c>
      <c r="C92">
        <v>402.37180000000001</v>
      </c>
      <c r="D92">
        <v>1084.5034700000001</v>
      </c>
    </row>
    <row r="93" spans="1:4" x14ac:dyDescent="0.35">
      <c r="A93" t="s">
        <v>14</v>
      </c>
      <c r="B93" t="s">
        <v>248</v>
      </c>
      <c r="C93">
        <v>604.78737000000001</v>
      </c>
      <c r="D93">
        <v>1721.1184499999999</v>
      </c>
    </row>
    <row r="94" spans="1:4" x14ac:dyDescent="0.35">
      <c r="A94" t="s">
        <v>14</v>
      </c>
      <c r="B94" t="s">
        <v>82</v>
      </c>
      <c r="C94">
        <v>532.94554000000005</v>
      </c>
      <c r="D94">
        <v>1189.52673</v>
      </c>
    </row>
    <row r="95" spans="1:4" x14ac:dyDescent="0.35">
      <c r="A95" t="s">
        <v>14</v>
      </c>
      <c r="B95" t="s">
        <v>249</v>
      </c>
      <c r="C95">
        <v>278.99252999999999</v>
      </c>
      <c r="D95">
        <v>661.79170999999997</v>
      </c>
    </row>
    <row r="96" spans="1:4" x14ac:dyDescent="0.35">
      <c r="A96" t="s">
        <v>14</v>
      </c>
      <c r="B96" t="s">
        <v>2</v>
      </c>
      <c r="C96">
        <v>1686.6370300000001</v>
      </c>
      <c r="D96">
        <v>3748.5841799999998</v>
      </c>
    </row>
    <row r="97" spans="1:4" x14ac:dyDescent="0.35">
      <c r="A97" t="s">
        <v>14</v>
      </c>
      <c r="B97" t="s">
        <v>55</v>
      </c>
      <c r="C97">
        <v>1244.11006</v>
      </c>
      <c r="D97">
        <v>2579.4503500000001</v>
      </c>
    </row>
    <row r="98" spans="1:4" x14ac:dyDescent="0.35">
      <c r="A98" t="s">
        <v>14</v>
      </c>
      <c r="B98" t="s">
        <v>250</v>
      </c>
      <c r="C98">
        <v>466.40884</v>
      </c>
      <c r="D98">
        <v>1312.02376</v>
      </c>
    </row>
    <row r="99" spans="1:4" x14ac:dyDescent="0.35">
      <c r="A99" t="s">
        <v>14</v>
      </c>
      <c r="B99" t="s">
        <v>129</v>
      </c>
      <c r="C99">
        <v>437.62729000000002</v>
      </c>
      <c r="D99">
        <v>1032.56837</v>
      </c>
    </row>
    <row r="100" spans="1:4" x14ac:dyDescent="0.35">
      <c r="A100" t="s">
        <v>14</v>
      </c>
      <c r="B100" t="s">
        <v>251</v>
      </c>
      <c r="C100">
        <v>675.78335000000004</v>
      </c>
      <c r="D100">
        <v>1488.3899100000001</v>
      </c>
    </row>
    <row r="101" spans="1:4" x14ac:dyDescent="0.35">
      <c r="A101" t="s">
        <v>14</v>
      </c>
      <c r="B101" t="s">
        <v>65</v>
      </c>
      <c r="C101">
        <v>418.60640000000001</v>
      </c>
      <c r="D101">
        <v>1026.06683</v>
      </c>
    </row>
    <row r="102" spans="1:4" x14ac:dyDescent="0.35">
      <c r="A102" t="s">
        <v>14</v>
      </c>
      <c r="B102" t="s">
        <v>101</v>
      </c>
      <c r="C102">
        <v>742.07207000000005</v>
      </c>
      <c r="D102">
        <v>1578.14696</v>
      </c>
    </row>
    <row r="103" spans="1:4" x14ac:dyDescent="0.35">
      <c r="A103" t="s">
        <v>14</v>
      </c>
      <c r="B103" t="s">
        <v>66</v>
      </c>
      <c r="C103">
        <v>428.80792000000002</v>
      </c>
      <c r="D103">
        <v>1101.61609</v>
      </c>
    </row>
    <row r="104" spans="1:4" x14ac:dyDescent="0.35">
      <c r="A104" t="s">
        <v>14</v>
      </c>
      <c r="B104" t="s">
        <v>73</v>
      </c>
      <c r="C104">
        <v>1738.9490499999999</v>
      </c>
      <c r="D104">
        <v>4006.7400699999998</v>
      </c>
    </row>
    <row r="105" spans="1:4" x14ac:dyDescent="0.35">
      <c r="A105" t="s">
        <v>14</v>
      </c>
      <c r="B105" t="s">
        <v>136</v>
      </c>
      <c r="C105">
        <v>899.91246999999998</v>
      </c>
      <c r="D105">
        <v>2278.1413899999998</v>
      </c>
    </row>
    <row r="106" spans="1:4" x14ac:dyDescent="0.35">
      <c r="A106" t="s">
        <v>14</v>
      </c>
      <c r="B106" t="s">
        <v>105</v>
      </c>
      <c r="C106">
        <v>477.71129999999999</v>
      </c>
      <c r="D106">
        <v>1281.9338499999999</v>
      </c>
    </row>
    <row r="107" spans="1:4" x14ac:dyDescent="0.35">
      <c r="A107" t="s">
        <v>14</v>
      </c>
      <c r="B107" t="s">
        <v>109</v>
      </c>
      <c r="C107">
        <v>1908.6931099999999</v>
      </c>
      <c r="D107">
        <v>4413.1562899999999</v>
      </c>
    </row>
    <row r="108" spans="1:4" x14ac:dyDescent="0.35">
      <c r="A108" t="s">
        <v>14</v>
      </c>
      <c r="B108" t="s">
        <v>97</v>
      </c>
      <c r="C108">
        <v>629.96434999999997</v>
      </c>
      <c r="D108">
        <v>1800.19829</v>
      </c>
    </row>
    <row r="109" spans="1:4" x14ac:dyDescent="0.35">
      <c r="A109" t="s">
        <v>14</v>
      </c>
      <c r="B109" t="s">
        <v>120</v>
      </c>
      <c r="C109">
        <v>524.03634999999997</v>
      </c>
      <c r="D109">
        <v>1384.9431400000001</v>
      </c>
    </row>
    <row r="110" spans="1:4" x14ac:dyDescent="0.35">
      <c r="A110" t="s">
        <v>14</v>
      </c>
      <c r="B110" t="s">
        <v>110</v>
      </c>
      <c r="C110">
        <v>741.89823999999999</v>
      </c>
      <c r="D110">
        <v>2124.0247800000002</v>
      </c>
    </row>
    <row r="111" spans="1:4" x14ac:dyDescent="0.35">
      <c r="A111" t="s">
        <v>14</v>
      </c>
      <c r="B111" t="s">
        <v>115</v>
      </c>
      <c r="C111">
        <v>1124.9738400000001</v>
      </c>
      <c r="D111">
        <v>2719.43028</v>
      </c>
    </row>
    <row r="112" spans="1:4" x14ac:dyDescent="0.35">
      <c r="A112" t="s">
        <v>14</v>
      </c>
      <c r="B112" t="s">
        <v>42</v>
      </c>
      <c r="C112">
        <v>951.61878000000002</v>
      </c>
      <c r="D112">
        <v>2860.6198399999998</v>
      </c>
    </row>
    <row r="113" spans="1:4" x14ac:dyDescent="0.35">
      <c r="A113" t="s">
        <v>14</v>
      </c>
      <c r="B113" t="s">
        <v>58</v>
      </c>
      <c r="C113">
        <v>393.55846000000003</v>
      </c>
      <c r="D113">
        <v>1582.43957</v>
      </c>
    </row>
    <row r="114" spans="1:4" x14ac:dyDescent="0.35">
      <c r="A114" t="s">
        <v>14</v>
      </c>
      <c r="B114" t="s">
        <v>121</v>
      </c>
      <c r="C114">
        <v>1279.41507</v>
      </c>
      <c r="D114">
        <v>2378.9923699999999</v>
      </c>
    </row>
    <row r="115" spans="1:4" x14ac:dyDescent="0.35">
      <c r="A115" t="s">
        <v>14</v>
      </c>
      <c r="B115" t="s">
        <v>81</v>
      </c>
      <c r="C115">
        <v>675.33240000000001</v>
      </c>
      <c r="D115">
        <v>1626.8879099999999</v>
      </c>
    </row>
    <row r="116" spans="1:4" x14ac:dyDescent="0.35">
      <c r="A116" t="s">
        <v>14</v>
      </c>
      <c r="B116" t="s">
        <v>57</v>
      </c>
      <c r="C116">
        <v>930.55008999999995</v>
      </c>
      <c r="D116">
        <v>2054.1260600000001</v>
      </c>
    </row>
    <row r="117" spans="1:4" x14ac:dyDescent="0.35">
      <c r="A117" t="s">
        <v>14</v>
      </c>
      <c r="B117" t="s">
        <v>1</v>
      </c>
      <c r="C117">
        <v>341.05759</v>
      </c>
      <c r="D117">
        <v>743.19610999999998</v>
      </c>
    </row>
    <row r="118" spans="1:4" x14ac:dyDescent="0.35">
      <c r="A118" t="s">
        <v>14</v>
      </c>
      <c r="B118" t="s">
        <v>49</v>
      </c>
      <c r="C118">
        <v>787.34109999999998</v>
      </c>
      <c r="D118">
        <v>1538.2522799999999</v>
      </c>
    </row>
    <row r="119" spans="1:4" x14ac:dyDescent="0.35">
      <c r="A119" t="s">
        <v>14</v>
      </c>
      <c r="B119" t="s">
        <v>130</v>
      </c>
      <c r="C119">
        <v>696.14743999999996</v>
      </c>
      <c r="D119">
        <v>1582.80556</v>
      </c>
    </row>
    <row r="120" spans="1:4" x14ac:dyDescent="0.35">
      <c r="A120" t="s">
        <v>14</v>
      </c>
      <c r="B120" t="s">
        <v>106</v>
      </c>
      <c r="C120">
        <v>2443.7131800000002</v>
      </c>
      <c r="D120">
        <v>4304.4198800000004</v>
      </c>
    </row>
    <row r="121" spans="1:4" x14ac:dyDescent="0.35">
      <c r="A121" t="s">
        <v>14</v>
      </c>
      <c r="B121" t="s">
        <v>133</v>
      </c>
      <c r="C121">
        <v>923.83127999999999</v>
      </c>
      <c r="D121">
        <v>1914.90968</v>
      </c>
    </row>
    <row r="122" spans="1:4" x14ac:dyDescent="0.35">
      <c r="A122" t="s">
        <v>15</v>
      </c>
      <c r="B122" t="s">
        <v>76</v>
      </c>
      <c r="C122">
        <v>3046.67947</v>
      </c>
      <c r="D122">
        <v>6279.7520299999996</v>
      </c>
    </row>
    <row r="123" spans="1:4" x14ac:dyDescent="0.35">
      <c r="A123" t="s">
        <v>15</v>
      </c>
      <c r="B123" t="s">
        <v>83</v>
      </c>
      <c r="C123">
        <v>2484.5109000000002</v>
      </c>
      <c r="D123">
        <v>4426.2082399999999</v>
      </c>
    </row>
    <row r="124" spans="1:4" x14ac:dyDescent="0.35">
      <c r="A124" t="s">
        <v>15</v>
      </c>
      <c r="B124" t="s">
        <v>77</v>
      </c>
      <c r="C124">
        <v>1008.5964</v>
      </c>
      <c r="D124">
        <v>2154.8044</v>
      </c>
    </row>
    <row r="125" spans="1:4" x14ac:dyDescent="0.35">
      <c r="A125" t="s">
        <v>15</v>
      </c>
      <c r="B125" t="s">
        <v>64</v>
      </c>
      <c r="C125">
        <v>1276.3197600000001</v>
      </c>
      <c r="D125">
        <v>2244.2293399999999</v>
      </c>
    </row>
    <row r="126" spans="1:4" x14ac:dyDescent="0.35">
      <c r="A126" t="s">
        <v>15</v>
      </c>
      <c r="B126" t="s">
        <v>45</v>
      </c>
      <c r="C126">
        <v>2969.5751399999999</v>
      </c>
      <c r="D126">
        <v>5055.7419099999997</v>
      </c>
    </row>
    <row r="127" spans="1:4" x14ac:dyDescent="0.35">
      <c r="A127" t="s">
        <v>15</v>
      </c>
      <c r="B127" t="s">
        <v>104</v>
      </c>
      <c r="C127">
        <v>557.12995000000001</v>
      </c>
      <c r="D127">
        <v>1148.09431</v>
      </c>
    </row>
    <row r="128" spans="1:4" x14ac:dyDescent="0.35">
      <c r="A128" t="s">
        <v>15</v>
      </c>
      <c r="B128" t="s">
        <v>239</v>
      </c>
      <c r="C128">
        <v>622.94389000000001</v>
      </c>
      <c r="D128">
        <v>1353.36907</v>
      </c>
    </row>
    <row r="129" spans="1:4" x14ac:dyDescent="0.35">
      <c r="A129" t="s">
        <v>15</v>
      </c>
      <c r="B129" t="s">
        <v>51</v>
      </c>
      <c r="C129">
        <v>1781.19262</v>
      </c>
      <c r="D129">
        <v>3026.7076699999998</v>
      </c>
    </row>
    <row r="130" spans="1:4" x14ac:dyDescent="0.35">
      <c r="A130" t="s">
        <v>15</v>
      </c>
      <c r="B130" t="s">
        <v>108</v>
      </c>
      <c r="C130">
        <v>1767.0631900000001</v>
      </c>
      <c r="D130">
        <v>3087.2891100000002</v>
      </c>
    </row>
    <row r="131" spans="1:4" x14ac:dyDescent="0.35">
      <c r="A131" t="s">
        <v>15</v>
      </c>
      <c r="B131" t="s">
        <v>87</v>
      </c>
      <c r="C131">
        <v>554.33604000000003</v>
      </c>
      <c r="D131">
        <v>1137.4398799999999</v>
      </c>
    </row>
    <row r="132" spans="1:4" x14ac:dyDescent="0.35">
      <c r="A132" t="s">
        <v>15</v>
      </c>
      <c r="B132" t="s">
        <v>103</v>
      </c>
      <c r="C132">
        <v>1354.78863</v>
      </c>
      <c r="D132">
        <v>2130.3877299999999</v>
      </c>
    </row>
    <row r="133" spans="1:4" x14ac:dyDescent="0.35">
      <c r="A133" t="s">
        <v>15</v>
      </c>
      <c r="B133" t="s">
        <v>52</v>
      </c>
      <c r="C133">
        <v>493.5428</v>
      </c>
      <c r="D133">
        <v>919.20069999999998</v>
      </c>
    </row>
    <row r="134" spans="1:4" x14ac:dyDescent="0.35">
      <c r="A134" t="s">
        <v>15</v>
      </c>
      <c r="B134" t="s">
        <v>139</v>
      </c>
      <c r="C134">
        <v>2103.8518300000001</v>
      </c>
      <c r="D134">
        <v>3879.64797</v>
      </c>
    </row>
    <row r="135" spans="1:4" x14ac:dyDescent="0.35">
      <c r="A135" t="s">
        <v>15</v>
      </c>
      <c r="B135" t="s">
        <v>240</v>
      </c>
      <c r="C135">
        <v>1500.06484</v>
      </c>
      <c r="D135">
        <v>2755.3351699999998</v>
      </c>
    </row>
    <row r="136" spans="1:4" x14ac:dyDescent="0.35">
      <c r="A136" t="s">
        <v>15</v>
      </c>
      <c r="B136" t="s">
        <v>78</v>
      </c>
      <c r="C136">
        <v>594.68534</v>
      </c>
      <c r="D136">
        <v>1280.10798</v>
      </c>
    </row>
    <row r="137" spans="1:4" x14ac:dyDescent="0.35">
      <c r="A137" t="s">
        <v>15</v>
      </c>
      <c r="B137" t="s">
        <v>118</v>
      </c>
      <c r="C137">
        <v>876.68119000000002</v>
      </c>
      <c r="D137">
        <v>1710.2551599999999</v>
      </c>
    </row>
    <row r="138" spans="1:4" x14ac:dyDescent="0.35">
      <c r="A138" t="s">
        <v>15</v>
      </c>
      <c r="B138" t="s">
        <v>53</v>
      </c>
      <c r="C138">
        <v>602.92568000000006</v>
      </c>
      <c r="D138">
        <v>1104.32916</v>
      </c>
    </row>
    <row r="139" spans="1:4" x14ac:dyDescent="0.35">
      <c r="A139" t="s">
        <v>15</v>
      </c>
      <c r="B139" t="s">
        <v>79</v>
      </c>
      <c r="C139">
        <v>1524.8738499999999</v>
      </c>
      <c r="D139">
        <v>2619.011</v>
      </c>
    </row>
    <row r="140" spans="1:4" x14ac:dyDescent="0.35">
      <c r="A140" t="s">
        <v>15</v>
      </c>
      <c r="B140" t="s">
        <v>71</v>
      </c>
      <c r="C140">
        <v>1262.4619299999999</v>
      </c>
      <c r="D140">
        <v>2938.5368600000002</v>
      </c>
    </row>
    <row r="141" spans="1:4" x14ac:dyDescent="0.35">
      <c r="A141" t="s">
        <v>15</v>
      </c>
      <c r="B141" t="s">
        <v>48</v>
      </c>
      <c r="C141">
        <v>571.71924000000001</v>
      </c>
      <c r="D141">
        <v>1300.0280700000001</v>
      </c>
    </row>
    <row r="142" spans="1:4" x14ac:dyDescent="0.35">
      <c r="A142" t="s">
        <v>15</v>
      </c>
      <c r="B142" t="s">
        <v>85</v>
      </c>
      <c r="C142">
        <v>1224.6715200000001</v>
      </c>
      <c r="D142">
        <v>2395.0635000000002</v>
      </c>
    </row>
    <row r="143" spans="1:4" x14ac:dyDescent="0.35">
      <c r="A143" t="s">
        <v>15</v>
      </c>
      <c r="B143" t="s">
        <v>93</v>
      </c>
      <c r="C143">
        <v>663.43961000000002</v>
      </c>
      <c r="D143">
        <v>1516.91941</v>
      </c>
    </row>
    <row r="144" spans="1:4" x14ac:dyDescent="0.35">
      <c r="A144" t="s">
        <v>15</v>
      </c>
      <c r="B144" t="s">
        <v>59</v>
      </c>
      <c r="C144">
        <v>720.87949000000003</v>
      </c>
      <c r="D144">
        <v>1621.3934899999999</v>
      </c>
    </row>
    <row r="145" spans="1:4" x14ac:dyDescent="0.35">
      <c r="A145" t="s">
        <v>15</v>
      </c>
      <c r="B145" t="s">
        <v>100</v>
      </c>
      <c r="C145">
        <v>462.57409999999999</v>
      </c>
      <c r="D145">
        <v>1046.28502</v>
      </c>
    </row>
    <row r="146" spans="1:4" x14ac:dyDescent="0.35">
      <c r="A146" t="s">
        <v>15</v>
      </c>
      <c r="B146" t="s">
        <v>6</v>
      </c>
      <c r="C146">
        <v>994.13301999999999</v>
      </c>
      <c r="D146">
        <v>2124.6264299999998</v>
      </c>
    </row>
    <row r="147" spans="1:4" x14ac:dyDescent="0.35">
      <c r="A147" t="s">
        <v>15</v>
      </c>
      <c r="B147" t="s">
        <v>70</v>
      </c>
      <c r="C147">
        <v>1120.5089499999999</v>
      </c>
      <c r="D147">
        <v>3099.37167</v>
      </c>
    </row>
    <row r="148" spans="1:4" x14ac:dyDescent="0.35">
      <c r="A148" t="s">
        <v>15</v>
      </c>
      <c r="B148" t="s">
        <v>63</v>
      </c>
      <c r="C148">
        <v>846.87995000000001</v>
      </c>
      <c r="D148">
        <v>1437.02883</v>
      </c>
    </row>
    <row r="149" spans="1:4" x14ac:dyDescent="0.35">
      <c r="A149" t="s">
        <v>15</v>
      </c>
      <c r="B149" t="s">
        <v>117</v>
      </c>
      <c r="C149">
        <v>1176.17662</v>
      </c>
      <c r="D149">
        <v>2212.5641000000001</v>
      </c>
    </row>
    <row r="150" spans="1:4" x14ac:dyDescent="0.35">
      <c r="A150" t="s">
        <v>15</v>
      </c>
      <c r="B150" t="s">
        <v>47</v>
      </c>
      <c r="C150">
        <v>1614.1708000000001</v>
      </c>
      <c r="D150">
        <v>3366.5133500000002</v>
      </c>
    </row>
    <row r="151" spans="1:4" x14ac:dyDescent="0.35">
      <c r="A151" t="s">
        <v>15</v>
      </c>
      <c r="B151" t="s">
        <v>54</v>
      </c>
      <c r="C151">
        <v>389.99549999999999</v>
      </c>
      <c r="D151">
        <v>849.51769000000002</v>
      </c>
    </row>
    <row r="152" spans="1:4" x14ac:dyDescent="0.35">
      <c r="A152" t="s">
        <v>15</v>
      </c>
      <c r="B152" t="s">
        <v>43</v>
      </c>
      <c r="C152">
        <v>1123.53187</v>
      </c>
      <c r="D152">
        <v>2271.0162399999999</v>
      </c>
    </row>
    <row r="153" spans="1:4" x14ac:dyDescent="0.35">
      <c r="A153" t="s">
        <v>15</v>
      </c>
      <c r="B153" t="s">
        <v>95</v>
      </c>
      <c r="C153">
        <v>571.30624999999998</v>
      </c>
      <c r="D153">
        <v>1172.5111199999999</v>
      </c>
    </row>
    <row r="154" spans="1:4" x14ac:dyDescent="0.35">
      <c r="A154" t="s">
        <v>15</v>
      </c>
      <c r="B154" t="s">
        <v>119</v>
      </c>
      <c r="C154">
        <v>1234.0504100000001</v>
      </c>
      <c r="D154">
        <v>2756.10565</v>
      </c>
    </row>
    <row r="155" spans="1:4" x14ac:dyDescent="0.35">
      <c r="A155" t="s">
        <v>15</v>
      </c>
      <c r="B155" t="s">
        <v>124</v>
      </c>
      <c r="C155">
        <v>944.54340999999999</v>
      </c>
      <c r="D155">
        <v>1779.1913099999999</v>
      </c>
    </row>
    <row r="156" spans="1:4" x14ac:dyDescent="0.35">
      <c r="A156" t="s">
        <v>15</v>
      </c>
      <c r="B156" t="s">
        <v>102</v>
      </c>
      <c r="C156">
        <v>742.93039999999996</v>
      </c>
      <c r="D156">
        <v>1323.9244799999999</v>
      </c>
    </row>
    <row r="157" spans="1:4" x14ac:dyDescent="0.35">
      <c r="A157" t="s">
        <v>15</v>
      </c>
      <c r="B157" t="s">
        <v>62</v>
      </c>
      <c r="C157">
        <v>1294.2377799999999</v>
      </c>
      <c r="D157">
        <v>2863.09195</v>
      </c>
    </row>
    <row r="158" spans="1:4" x14ac:dyDescent="0.35">
      <c r="A158" t="s">
        <v>15</v>
      </c>
      <c r="B158" t="s">
        <v>132</v>
      </c>
      <c r="C158">
        <v>742.84208999999998</v>
      </c>
      <c r="D158">
        <v>2021.36257</v>
      </c>
    </row>
    <row r="159" spans="1:4" x14ac:dyDescent="0.35">
      <c r="A159" t="s">
        <v>15</v>
      </c>
      <c r="B159" t="s">
        <v>140</v>
      </c>
      <c r="C159">
        <v>2105.3044500000001</v>
      </c>
      <c r="D159">
        <v>3985.66239</v>
      </c>
    </row>
    <row r="160" spans="1:4" x14ac:dyDescent="0.35">
      <c r="A160" t="s">
        <v>15</v>
      </c>
      <c r="B160" t="s">
        <v>94</v>
      </c>
      <c r="C160">
        <v>925.06532000000004</v>
      </c>
      <c r="D160">
        <v>1898.2873999999999</v>
      </c>
    </row>
    <row r="161" spans="1:4" x14ac:dyDescent="0.35">
      <c r="A161" t="s">
        <v>15</v>
      </c>
      <c r="B161" t="s">
        <v>44</v>
      </c>
      <c r="C161">
        <v>247.99145999999999</v>
      </c>
      <c r="D161">
        <v>661.29328999999996</v>
      </c>
    </row>
    <row r="162" spans="1:4" x14ac:dyDescent="0.35">
      <c r="A162" t="s">
        <v>15</v>
      </c>
      <c r="B162" t="s">
        <v>74</v>
      </c>
      <c r="C162">
        <v>1179.2418500000001</v>
      </c>
      <c r="D162">
        <v>2483.2661400000002</v>
      </c>
    </row>
    <row r="163" spans="1:4" x14ac:dyDescent="0.35">
      <c r="A163" t="s">
        <v>15</v>
      </c>
      <c r="B163" t="s">
        <v>72</v>
      </c>
      <c r="C163">
        <v>1830.53125</v>
      </c>
      <c r="D163">
        <v>3691.2665000000002</v>
      </c>
    </row>
    <row r="164" spans="1:4" x14ac:dyDescent="0.35">
      <c r="A164" t="s">
        <v>15</v>
      </c>
      <c r="B164" t="s">
        <v>137</v>
      </c>
      <c r="C164">
        <v>798.29480000000001</v>
      </c>
      <c r="D164">
        <v>1894.75117</v>
      </c>
    </row>
    <row r="165" spans="1:4" x14ac:dyDescent="0.35">
      <c r="A165" t="s">
        <v>15</v>
      </c>
      <c r="B165" t="s">
        <v>112</v>
      </c>
      <c r="C165">
        <v>2057.5203000000001</v>
      </c>
      <c r="D165">
        <v>3924.91417</v>
      </c>
    </row>
    <row r="166" spans="1:4" x14ac:dyDescent="0.35">
      <c r="A166" t="s">
        <v>15</v>
      </c>
      <c r="B166" t="s">
        <v>75</v>
      </c>
      <c r="C166">
        <v>829.83320000000003</v>
      </c>
      <c r="D166">
        <v>1762.71965</v>
      </c>
    </row>
    <row r="167" spans="1:4" x14ac:dyDescent="0.35">
      <c r="A167" t="s">
        <v>15</v>
      </c>
      <c r="B167" t="s">
        <v>113</v>
      </c>
      <c r="C167">
        <v>674.50558999999998</v>
      </c>
      <c r="D167">
        <v>1178.86041</v>
      </c>
    </row>
    <row r="168" spans="1:4" x14ac:dyDescent="0.35">
      <c r="A168" t="s">
        <v>15</v>
      </c>
      <c r="B168" t="s">
        <v>46</v>
      </c>
      <c r="C168">
        <v>724.03778</v>
      </c>
      <c r="D168">
        <v>1267.5683899999999</v>
      </c>
    </row>
    <row r="169" spans="1:4" x14ac:dyDescent="0.35">
      <c r="A169" t="s">
        <v>15</v>
      </c>
      <c r="B169" t="s">
        <v>114</v>
      </c>
      <c r="C169">
        <v>664.04801999999995</v>
      </c>
      <c r="D169">
        <v>1320.0645199999999</v>
      </c>
    </row>
    <row r="170" spans="1:4" x14ac:dyDescent="0.35">
      <c r="A170" t="s">
        <v>15</v>
      </c>
      <c r="B170" t="s">
        <v>128</v>
      </c>
      <c r="C170">
        <v>792.96527000000003</v>
      </c>
      <c r="D170">
        <v>1889.3668600000001</v>
      </c>
    </row>
    <row r="171" spans="1:4" x14ac:dyDescent="0.35">
      <c r="A171" t="s">
        <v>15</v>
      </c>
      <c r="B171" t="s">
        <v>89</v>
      </c>
      <c r="C171">
        <v>400.70125000000002</v>
      </c>
      <c r="D171">
        <v>964.1268</v>
      </c>
    </row>
    <row r="172" spans="1:4" x14ac:dyDescent="0.35">
      <c r="A172" t="s">
        <v>15</v>
      </c>
      <c r="B172" t="s">
        <v>241</v>
      </c>
      <c r="C172">
        <v>694.96059000000002</v>
      </c>
      <c r="D172">
        <v>1692.37779</v>
      </c>
    </row>
    <row r="173" spans="1:4" x14ac:dyDescent="0.35">
      <c r="A173" t="s">
        <v>15</v>
      </c>
      <c r="B173" t="s">
        <v>134</v>
      </c>
      <c r="C173">
        <v>864.20351000000005</v>
      </c>
      <c r="D173">
        <v>1943.68129</v>
      </c>
    </row>
    <row r="174" spans="1:4" x14ac:dyDescent="0.35">
      <c r="A174" t="s">
        <v>15</v>
      </c>
      <c r="B174" t="s">
        <v>107</v>
      </c>
      <c r="C174">
        <v>2944.7169899999999</v>
      </c>
      <c r="D174">
        <v>5637.3623399999997</v>
      </c>
    </row>
    <row r="175" spans="1:4" x14ac:dyDescent="0.35">
      <c r="A175" t="s">
        <v>15</v>
      </c>
      <c r="B175" t="s">
        <v>67</v>
      </c>
      <c r="C175">
        <v>474.08147000000002</v>
      </c>
      <c r="D175">
        <v>1117.9632300000001</v>
      </c>
    </row>
    <row r="176" spans="1:4" x14ac:dyDescent="0.35">
      <c r="A176" t="s">
        <v>15</v>
      </c>
      <c r="B176" t="s">
        <v>111</v>
      </c>
      <c r="C176">
        <v>1578.2325699999999</v>
      </c>
      <c r="D176">
        <v>3362.9224599999998</v>
      </c>
    </row>
    <row r="177" spans="1:4" x14ac:dyDescent="0.35">
      <c r="A177" t="s">
        <v>15</v>
      </c>
      <c r="B177" t="s">
        <v>122</v>
      </c>
      <c r="C177">
        <v>1121.5345500000001</v>
      </c>
      <c r="D177">
        <v>2205.3807900000002</v>
      </c>
    </row>
    <row r="178" spans="1:4" x14ac:dyDescent="0.35">
      <c r="A178" t="s">
        <v>15</v>
      </c>
      <c r="B178" t="s">
        <v>123</v>
      </c>
      <c r="C178">
        <v>2261.9198700000002</v>
      </c>
      <c r="D178">
        <v>4411.3483500000002</v>
      </c>
    </row>
    <row r="179" spans="1:4" x14ac:dyDescent="0.35">
      <c r="A179" t="s">
        <v>15</v>
      </c>
      <c r="B179" t="s">
        <v>80</v>
      </c>
      <c r="C179">
        <v>1479.51511</v>
      </c>
      <c r="D179">
        <v>3032.40868</v>
      </c>
    </row>
    <row r="180" spans="1:4" x14ac:dyDescent="0.35">
      <c r="A180" t="s">
        <v>15</v>
      </c>
      <c r="B180" t="s">
        <v>138</v>
      </c>
      <c r="C180">
        <v>822.33802000000003</v>
      </c>
      <c r="D180">
        <v>1764.0589399999999</v>
      </c>
    </row>
    <row r="181" spans="1:4" x14ac:dyDescent="0.35">
      <c r="A181" t="s">
        <v>15</v>
      </c>
      <c r="B181" t="s">
        <v>98</v>
      </c>
      <c r="C181">
        <v>530.12175000000002</v>
      </c>
      <c r="D181">
        <v>1210.7986599999999</v>
      </c>
    </row>
    <row r="182" spans="1:4" x14ac:dyDescent="0.35">
      <c r="A182" t="s">
        <v>15</v>
      </c>
      <c r="B182" t="s">
        <v>99</v>
      </c>
      <c r="C182">
        <v>743.24075000000005</v>
      </c>
      <c r="D182">
        <v>1461.3257000000001</v>
      </c>
    </row>
    <row r="183" spans="1:4" x14ac:dyDescent="0.35">
      <c r="A183" t="s">
        <v>15</v>
      </c>
      <c r="B183" t="s">
        <v>131</v>
      </c>
      <c r="C183">
        <v>2244.0900900000001</v>
      </c>
      <c r="D183">
        <v>4849.3776799999996</v>
      </c>
    </row>
    <row r="184" spans="1:4" x14ac:dyDescent="0.35">
      <c r="A184" t="s">
        <v>15</v>
      </c>
      <c r="B184" t="s">
        <v>84</v>
      </c>
      <c r="C184">
        <v>686.73874999999998</v>
      </c>
      <c r="D184">
        <v>1390.7344399999999</v>
      </c>
    </row>
    <row r="185" spans="1:4" x14ac:dyDescent="0.35">
      <c r="A185" t="s">
        <v>15</v>
      </c>
      <c r="B185" t="s">
        <v>96</v>
      </c>
      <c r="C185">
        <v>703.33712000000003</v>
      </c>
      <c r="D185">
        <v>1638.5472199999999</v>
      </c>
    </row>
    <row r="186" spans="1:4" x14ac:dyDescent="0.35">
      <c r="A186" t="s">
        <v>15</v>
      </c>
      <c r="B186" t="s">
        <v>88</v>
      </c>
      <c r="C186">
        <v>1161.8761099999999</v>
      </c>
      <c r="D186">
        <v>2710.59924</v>
      </c>
    </row>
    <row r="187" spans="1:4" x14ac:dyDescent="0.35">
      <c r="A187" t="s">
        <v>15</v>
      </c>
      <c r="B187" t="s">
        <v>0</v>
      </c>
      <c r="C187">
        <v>535.28174000000001</v>
      </c>
      <c r="D187">
        <v>1355.1747399999999</v>
      </c>
    </row>
    <row r="188" spans="1:4" x14ac:dyDescent="0.35">
      <c r="A188" t="s">
        <v>15</v>
      </c>
      <c r="B188" t="s">
        <v>5</v>
      </c>
      <c r="C188">
        <v>362.63900000000001</v>
      </c>
      <c r="D188">
        <v>689.39643999999998</v>
      </c>
    </row>
    <row r="189" spans="1:4" x14ac:dyDescent="0.35">
      <c r="A189" t="s">
        <v>15</v>
      </c>
      <c r="B189" t="s">
        <v>4</v>
      </c>
      <c r="C189">
        <v>462.52695</v>
      </c>
      <c r="D189">
        <v>1491.3809699999999</v>
      </c>
    </row>
    <row r="190" spans="1:4" x14ac:dyDescent="0.35">
      <c r="A190" t="s">
        <v>15</v>
      </c>
      <c r="B190" t="s">
        <v>86</v>
      </c>
      <c r="C190">
        <v>1249.5664200000001</v>
      </c>
      <c r="D190">
        <v>2616.1337400000002</v>
      </c>
    </row>
    <row r="191" spans="1:4" x14ac:dyDescent="0.35">
      <c r="A191" t="s">
        <v>15</v>
      </c>
      <c r="B191" t="s">
        <v>50</v>
      </c>
      <c r="C191">
        <v>2088.7584700000002</v>
      </c>
      <c r="D191">
        <v>4173.06628</v>
      </c>
    </row>
    <row r="192" spans="1:4" x14ac:dyDescent="0.35">
      <c r="A192" t="s">
        <v>15</v>
      </c>
      <c r="B192" t="s">
        <v>56</v>
      </c>
      <c r="C192">
        <v>1281.11481</v>
      </c>
      <c r="D192">
        <v>2218.6452300000001</v>
      </c>
    </row>
    <row r="193" spans="1:4" x14ac:dyDescent="0.35">
      <c r="A193" t="s">
        <v>15</v>
      </c>
      <c r="B193" t="s">
        <v>60</v>
      </c>
      <c r="C193">
        <v>512.5924</v>
      </c>
      <c r="D193">
        <v>1014.24659</v>
      </c>
    </row>
    <row r="194" spans="1:4" x14ac:dyDescent="0.35">
      <c r="A194" t="s">
        <v>15</v>
      </c>
      <c r="B194" t="s">
        <v>61</v>
      </c>
      <c r="C194">
        <v>1219.4418499999999</v>
      </c>
      <c r="D194">
        <v>2872.5024100000001</v>
      </c>
    </row>
    <row r="195" spans="1:4" x14ac:dyDescent="0.35">
      <c r="A195" t="s">
        <v>15</v>
      </c>
      <c r="B195" t="s">
        <v>3</v>
      </c>
      <c r="C195">
        <v>531.56169999999997</v>
      </c>
      <c r="D195">
        <v>1152.3541600000001</v>
      </c>
    </row>
    <row r="196" spans="1:4" x14ac:dyDescent="0.35">
      <c r="A196" t="s">
        <v>15</v>
      </c>
      <c r="B196" t="s">
        <v>126</v>
      </c>
      <c r="C196">
        <v>926.32883000000004</v>
      </c>
      <c r="D196">
        <v>1598.51476</v>
      </c>
    </row>
    <row r="197" spans="1:4" x14ac:dyDescent="0.35">
      <c r="A197" t="s">
        <v>15</v>
      </c>
      <c r="B197" t="s">
        <v>242</v>
      </c>
      <c r="C197">
        <v>586.20387000000005</v>
      </c>
      <c r="D197">
        <v>1028.1420900000001</v>
      </c>
    </row>
    <row r="198" spans="1:4" x14ac:dyDescent="0.35">
      <c r="A198" t="s">
        <v>15</v>
      </c>
      <c r="B198" t="s">
        <v>125</v>
      </c>
      <c r="C198">
        <v>734.58506999999997</v>
      </c>
      <c r="D198">
        <v>1521.2697000000001</v>
      </c>
    </row>
    <row r="199" spans="1:4" x14ac:dyDescent="0.35">
      <c r="A199" t="s">
        <v>15</v>
      </c>
      <c r="B199" t="s">
        <v>68</v>
      </c>
      <c r="C199">
        <v>416.4162</v>
      </c>
      <c r="D199">
        <v>970.25238000000002</v>
      </c>
    </row>
    <row r="200" spans="1:4" x14ac:dyDescent="0.35">
      <c r="A200" t="s">
        <v>15</v>
      </c>
      <c r="B200" t="s">
        <v>90</v>
      </c>
      <c r="C200">
        <v>1223.4520199999999</v>
      </c>
      <c r="D200">
        <v>2205.03829</v>
      </c>
    </row>
    <row r="201" spans="1:4" x14ac:dyDescent="0.35">
      <c r="A201" t="s">
        <v>15</v>
      </c>
      <c r="B201" t="s">
        <v>243</v>
      </c>
      <c r="C201">
        <v>461.19166999999999</v>
      </c>
      <c r="D201">
        <v>914.16665</v>
      </c>
    </row>
    <row r="202" spans="1:4" x14ac:dyDescent="0.35">
      <c r="A202" t="s">
        <v>15</v>
      </c>
      <c r="B202" t="s">
        <v>69</v>
      </c>
      <c r="C202">
        <v>1663.7189900000001</v>
      </c>
      <c r="D202">
        <v>3437.0789799999998</v>
      </c>
    </row>
    <row r="203" spans="1:4" x14ac:dyDescent="0.35">
      <c r="A203" t="s">
        <v>15</v>
      </c>
      <c r="B203" t="s">
        <v>244</v>
      </c>
      <c r="C203">
        <v>948.19994999999994</v>
      </c>
      <c r="D203">
        <v>1990.1164900000001</v>
      </c>
    </row>
    <row r="204" spans="1:4" x14ac:dyDescent="0.35">
      <c r="A204" t="s">
        <v>15</v>
      </c>
      <c r="B204" t="s">
        <v>245</v>
      </c>
      <c r="C204">
        <v>641.63260000000002</v>
      </c>
      <c r="D204">
        <v>2328.56673</v>
      </c>
    </row>
    <row r="205" spans="1:4" x14ac:dyDescent="0.35">
      <c r="A205" t="s">
        <v>15</v>
      </c>
      <c r="B205" t="s">
        <v>246</v>
      </c>
      <c r="C205">
        <v>951.83046999999999</v>
      </c>
      <c r="D205">
        <v>2564.7920899999999</v>
      </c>
    </row>
    <row r="206" spans="1:4" x14ac:dyDescent="0.35">
      <c r="A206" t="s">
        <v>15</v>
      </c>
      <c r="B206" t="s">
        <v>135</v>
      </c>
      <c r="C206">
        <v>1046.12084</v>
      </c>
      <c r="D206">
        <v>2400.0722500000002</v>
      </c>
    </row>
    <row r="207" spans="1:4" x14ac:dyDescent="0.35">
      <c r="A207" t="s">
        <v>15</v>
      </c>
      <c r="B207" t="s">
        <v>116</v>
      </c>
      <c r="C207">
        <v>643.70505000000003</v>
      </c>
      <c r="D207">
        <v>1936.94417</v>
      </c>
    </row>
    <row r="208" spans="1:4" x14ac:dyDescent="0.35">
      <c r="A208" t="s">
        <v>15</v>
      </c>
      <c r="B208" t="s">
        <v>247</v>
      </c>
      <c r="C208">
        <v>593.48406</v>
      </c>
      <c r="D208">
        <v>1700.9064499999999</v>
      </c>
    </row>
    <row r="209" spans="1:4" x14ac:dyDescent="0.35">
      <c r="A209" t="s">
        <v>15</v>
      </c>
      <c r="B209" t="s">
        <v>41</v>
      </c>
      <c r="C209">
        <v>3490.4258</v>
      </c>
      <c r="D209">
        <v>8236.5331000000006</v>
      </c>
    </row>
    <row r="210" spans="1:4" x14ac:dyDescent="0.35">
      <c r="A210" t="s">
        <v>15</v>
      </c>
      <c r="B210" t="s">
        <v>91</v>
      </c>
      <c r="C210">
        <v>1951.30485</v>
      </c>
      <c r="D210">
        <v>5187.4128099999998</v>
      </c>
    </row>
    <row r="211" spans="1:4" x14ac:dyDescent="0.35">
      <c r="A211" t="s">
        <v>15</v>
      </c>
      <c r="B211" t="s">
        <v>127</v>
      </c>
      <c r="C211">
        <v>620.21955000000003</v>
      </c>
      <c r="D211">
        <v>1571.44775</v>
      </c>
    </row>
    <row r="212" spans="1:4" x14ac:dyDescent="0.35">
      <c r="A212" t="s">
        <v>15</v>
      </c>
      <c r="B212" t="s">
        <v>92</v>
      </c>
      <c r="C212">
        <v>399.26555000000002</v>
      </c>
      <c r="D212">
        <v>1082.2354700000001</v>
      </c>
    </row>
    <row r="213" spans="1:4" x14ac:dyDescent="0.35">
      <c r="A213" t="s">
        <v>15</v>
      </c>
      <c r="B213" t="s">
        <v>248</v>
      </c>
      <c r="C213">
        <v>597.85442</v>
      </c>
      <c r="D213">
        <v>1715.7816600000001</v>
      </c>
    </row>
    <row r="214" spans="1:4" x14ac:dyDescent="0.35">
      <c r="A214" t="s">
        <v>15</v>
      </c>
      <c r="B214" t="s">
        <v>82</v>
      </c>
      <c r="C214">
        <v>532.68403999999998</v>
      </c>
      <c r="D214">
        <v>1183.10006</v>
      </c>
    </row>
    <row r="215" spans="1:4" x14ac:dyDescent="0.35">
      <c r="A215" t="s">
        <v>15</v>
      </c>
      <c r="B215" t="s">
        <v>249</v>
      </c>
      <c r="C215">
        <v>276.61586</v>
      </c>
      <c r="D215">
        <v>661.07755999999995</v>
      </c>
    </row>
    <row r="216" spans="1:4" x14ac:dyDescent="0.35">
      <c r="A216" t="s">
        <v>15</v>
      </c>
      <c r="B216" t="s">
        <v>2</v>
      </c>
      <c r="C216">
        <v>1685.02243</v>
      </c>
      <c r="D216">
        <v>3729.7774800000002</v>
      </c>
    </row>
    <row r="217" spans="1:4" x14ac:dyDescent="0.35">
      <c r="A217" t="s">
        <v>15</v>
      </c>
      <c r="B217" t="s">
        <v>55</v>
      </c>
      <c r="C217">
        <v>1239.5725600000001</v>
      </c>
      <c r="D217">
        <v>2587.1970099999999</v>
      </c>
    </row>
    <row r="218" spans="1:4" x14ac:dyDescent="0.35">
      <c r="A218" t="s">
        <v>15</v>
      </c>
      <c r="B218" t="s">
        <v>250</v>
      </c>
      <c r="C218">
        <v>465.17009000000002</v>
      </c>
      <c r="D218">
        <v>1300.4670900000001</v>
      </c>
    </row>
    <row r="219" spans="1:4" x14ac:dyDescent="0.35">
      <c r="A219" t="s">
        <v>15</v>
      </c>
      <c r="B219" t="s">
        <v>129</v>
      </c>
      <c r="C219">
        <v>437.33803999999998</v>
      </c>
      <c r="D219">
        <v>1031.6422500000001</v>
      </c>
    </row>
    <row r="220" spans="1:4" x14ac:dyDescent="0.35">
      <c r="A220" t="s">
        <v>15</v>
      </c>
      <c r="B220" t="s">
        <v>251</v>
      </c>
      <c r="C220">
        <v>671.83056999999997</v>
      </c>
      <c r="D220">
        <v>1483.1899000000001</v>
      </c>
    </row>
    <row r="221" spans="1:4" x14ac:dyDescent="0.35">
      <c r="A221" t="s">
        <v>15</v>
      </c>
      <c r="B221" t="s">
        <v>65</v>
      </c>
      <c r="C221">
        <v>418.32754999999997</v>
      </c>
      <c r="D221">
        <v>1017.3734899999999</v>
      </c>
    </row>
    <row r="222" spans="1:4" x14ac:dyDescent="0.35">
      <c r="A222" t="s">
        <v>15</v>
      </c>
      <c r="B222" t="s">
        <v>101</v>
      </c>
      <c r="C222">
        <v>736.63365999999996</v>
      </c>
      <c r="D222">
        <v>1582.48029</v>
      </c>
    </row>
    <row r="223" spans="1:4" x14ac:dyDescent="0.35">
      <c r="A223" t="s">
        <v>15</v>
      </c>
      <c r="B223" t="s">
        <v>66</v>
      </c>
      <c r="C223">
        <v>426.41541999999998</v>
      </c>
      <c r="D223">
        <v>1099.69823</v>
      </c>
    </row>
    <row r="224" spans="1:4" x14ac:dyDescent="0.35">
      <c r="A224" t="s">
        <v>15</v>
      </c>
      <c r="B224" t="s">
        <v>73</v>
      </c>
      <c r="C224">
        <v>1738.75424</v>
      </c>
      <c r="D224">
        <v>4003.7957799999999</v>
      </c>
    </row>
    <row r="225" spans="1:4" x14ac:dyDescent="0.35">
      <c r="A225" t="s">
        <v>15</v>
      </c>
      <c r="B225" t="s">
        <v>136</v>
      </c>
      <c r="C225">
        <v>897.90031999999997</v>
      </c>
      <c r="D225">
        <v>2268.9542000000001</v>
      </c>
    </row>
    <row r="226" spans="1:4" x14ac:dyDescent="0.35">
      <c r="A226" t="s">
        <v>15</v>
      </c>
      <c r="B226" t="s">
        <v>105</v>
      </c>
      <c r="C226">
        <v>476.05054999999999</v>
      </c>
      <c r="D226">
        <v>1282.36718</v>
      </c>
    </row>
    <row r="227" spans="1:4" x14ac:dyDescent="0.35">
      <c r="A227" t="s">
        <v>15</v>
      </c>
      <c r="B227" t="s">
        <v>109</v>
      </c>
      <c r="C227">
        <v>1912.6618599999999</v>
      </c>
      <c r="D227">
        <v>4432.4709599999996</v>
      </c>
    </row>
    <row r="228" spans="1:4" x14ac:dyDescent="0.35">
      <c r="A228" t="s">
        <v>15</v>
      </c>
      <c r="B228" t="s">
        <v>97</v>
      </c>
      <c r="C228">
        <v>639.23226999999997</v>
      </c>
      <c r="D228">
        <v>1797.9654800000001</v>
      </c>
    </row>
    <row r="229" spans="1:4" x14ac:dyDescent="0.35">
      <c r="A229" t="s">
        <v>15</v>
      </c>
      <c r="B229" t="s">
        <v>120</v>
      </c>
      <c r="C229">
        <v>521.40150000000006</v>
      </c>
      <c r="D229">
        <v>1382.6831199999999</v>
      </c>
    </row>
    <row r="230" spans="1:4" x14ac:dyDescent="0.35">
      <c r="A230" t="s">
        <v>15</v>
      </c>
      <c r="B230" t="s">
        <v>110</v>
      </c>
      <c r="C230">
        <v>739.48893999999996</v>
      </c>
      <c r="D230">
        <v>2129.1752999999999</v>
      </c>
    </row>
    <row r="231" spans="1:4" x14ac:dyDescent="0.35">
      <c r="A231" t="s">
        <v>15</v>
      </c>
      <c r="B231" t="s">
        <v>115</v>
      </c>
      <c r="C231">
        <v>1127.0008399999999</v>
      </c>
      <c r="D231">
        <v>2716.0736000000002</v>
      </c>
    </row>
    <row r="232" spans="1:4" x14ac:dyDescent="0.35">
      <c r="A232" t="s">
        <v>15</v>
      </c>
      <c r="B232" t="s">
        <v>42</v>
      </c>
      <c r="C232">
        <v>953.30044999999996</v>
      </c>
      <c r="D232">
        <v>2864.1758599999998</v>
      </c>
    </row>
    <row r="233" spans="1:4" x14ac:dyDescent="0.35">
      <c r="A233" t="s">
        <v>15</v>
      </c>
      <c r="B233" t="s">
        <v>58</v>
      </c>
      <c r="C233">
        <v>390.78595999999999</v>
      </c>
      <c r="D233">
        <v>1586.4105199999999</v>
      </c>
    </row>
    <row r="234" spans="1:4" x14ac:dyDescent="0.35">
      <c r="A234" t="s">
        <v>15</v>
      </c>
      <c r="B234" t="s">
        <v>121</v>
      </c>
      <c r="C234">
        <v>1272.99632</v>
      </c>
      <c r="D234">
        <v>2361.9723600000002</v>
      </c>
    </row>
    <row r="235" spans="1:4" x14ac:dyDescent="0.35">
      <c r="A235" t="s">
        <v>15</v>
      </c>
      <c r="B235" t="s">
        <v>81</v>
      </c>
      <c r="C235">
        <v>675.41980000000001</v>
      </c>
      <c r="D235">
        <v>1645.1559299999999</v>
      </c>
    </row>
    <row r="236" spans="1:4" x14ac:dyDescent="0.35">
      <c r="A236" t="s">
        <v>15</v>
      </c>
      <c r="B236" t="s">
        <v>57</v>
      </c>
      <c r="C236">
        <v>933.57509000000005</v>
      </c>
      <c r="D236">
        <v>2058.8327399999998</v>
      </c>
    </row>
    <row r="237" spans="1:4" x14ac:dyDescent="0.35">
      <c r="A237" t="s">
        <v>15</v>
      </c>
      <c r="B237" t="s">
        <v>1</v>
      </c>
      <c r="C237">
        <v>345.51258999999999</v>
      </c>
      <c r="D237">
        <v>747.87609999999995</v>
      </c>
    </row>
    <row r="238" spans="1:4" x14ac:dyDescent="0.35">
      <c r="A238" t="s">
        <v>15</v>
      </c>
      <c r="B238" t="s">
        <v>49</v>
      </c>
      <c r="C238">
        <v>786.15065000000004</v>
      </c>
      <c r="D238">
        <v>1543.7936099999999</v>
      </c>
    </row>
    <row r="239" spans="1:4" x14ac:dyDescent="0.35">
      <c r="A239" t="s">
        <v>15</v>
      </c>
      <c r="B239" t="s">
        <v>130</v>
      </c>
      <c r="C239">
        <v>697.99118999999996</v>
      </c>
      <c r="D239">
        <v>1575.33222</v>
      </c>
    </row>
    <row r="240" spans="1:4" x14ac:dyDescent="0.35">
      <c r="A240" t="s">
        <v>15</v>
      </c>
      <c r="B240" t="s">
        <v>106</v>
      </c>
      <c r="C240">
        <v>2420.72568</v>
      </c>
      <c r="D240">
        <v>4297.51541</v>
      </c>
    </row>
    <row r="241" spans="1:4" x14ac:dyDescent="0.35">
      <c r="A241" t="s">
        <v>15</v>
      </c>
      <c r="B241" t="s">
        <v>133</v>
      </c>
      <c r="C241">
        <v>923.60137999999995</v>
      </c>
      <c r="D241">
        <v>1898.9216799999999</v>
      </c>
    </row>
    <row r="242" spans="1:4" x14ac:dyDescent="0.35">
      <c r="A242" t="s">
        <v>16</v>
      </c>
      <c r="B242" t="s">
        <v>76</v>
      </c>
      <c r="C242">
        <v>3027.71434</v>
      </c>
      <c r="D242">
        <v>6244.3690900000001</v>
      </c>
    </row>
    <row r="243" spans="1:4" x14ac:dyDescent="0.35">
      <c r="A243" t="s">
        <v>16</v>
      </c>
      <c r="B243" t="s">
        <v>83</v>
      </c>
      <c r="C243">
        <v>2476.5909000000001</v>
      </c>
      <c r="D243">
        <v>4421.1981100000003</v>
      </c>
    </row>
    <row r="244" spans="1:4" x14ac:dyDescent="0.35">
      <c r="A244" t="s">
        <v>16</v>
      </c>
      <c r="B244" t="s">
        <v>77</v>
      </c>
      <c r="C244">
        <v>1000.9501</v>
      </c>
      <c r="D244">
        <v>2151.6106399999999</v>
      </c>
    </row>
    <row r="245" spans="1:4" x14ac:dyDescent="0.35">
      <c r="A245" t="s">
        <v>16</v>
      </c>
      <c r="B245" t="s">
        <v>64</v>
      </c>
      <c r="C245">
        <v>1254.86546</v>
      </c>
      <c r="D245">
        <v>2239.31466</v>
      </c>
    </row>
    <row r="246" spans="1:4" x14ac:dyDescent="0.35">
      <c r="A246" t="s">
        <v>16</v>
      </c>
      <c r="B246" t="s">
        <v>45</v>
      </c>
      <c r="C246">
        <v>2937.54844</v>
      </c>
      <c r="D246">
        <v>5073.0699000000004</v>
      </c>
    </row>
    <row r="247" spans="1:4" x14ac:dyDescent="0.35">
      <c r="A247" t="s">
        <v>16</v>
      </c>
      <c r="B247" t="s">
        <v>104</v>
      </c>
      <c r="C247">
        <v>589.94245000000001</v>
      </c>
      <c r="D247">
        <v>1144.77163</v>
      </c>
    </row>
    <row r="248" spans="1:4" x14ac:dyDescent="0.35">
      <c r="A248" t="s">
        <v>16</v>
      </c>
      <c r="B248" t="s">
        <v>239</v>
      </c>
      <c r="C248">
        <v>655.54489000000001</v>
      </c>
      <c r="D248">
        <v>1354.38932</v>
      </c>
    </row>
    <row r="249" spans="1:4" x14ac:dyDescent="0.35">
      <c r="A249" t="s">
        <v>16</v>
      </c>
      <c r="B249" t="s">
        <v>51</v>
      </c>
      <c r="C249">
        <v>1763.53</v>
      </c>
      <c r="D249">
        <v>3023.9989500000001</v>
      </c>
    </row>
    <row r="250" spans="1:4" x14ac:dyDescent="0.35">
      <c r="A250" t="s">
        <v>16</v>
      </c>
      <c r="B250" t="s">
        <v>108</v>
      </c>
      <c r="C250">
        <v>1744.8356100000001</v>
      </c>
      <c r="D250">
        <v>3101.7059100000001</v>
      </c>
    </row>
    <row r="251" spans="1:4" x14ac:dyDescent="0.35">
      <c r="A251" t="s">
        <v>16</v>
      </c>
      <c r="B251" t="s">
        <v>87</v>
      </c>
      <c r="C251">
        <v>544.87354000000005</v>
      </c>
      <c r="D251">
        <v>1153.02655</v>
      </c>
    </row>
    <row r="252" spans="1:4" x14ac:dyDescent="0.35">
      <c r="A252" t="s">
        <v>16</v>
      </c>
      <c r="B252" t="s">
        <v>103</v>
      </c>
      <c r="C252">
        <v>1359.66688</v>
      </c>
      <c r="D252">
        <v>2149.4055899999998</v>
      </c>
    </row>
    <row r="253" spans="1:4" x14ac:dyDescent="0.35">
      <c r="A253" t="s">
        <v>16</v>
      </c>
      <c r="B253" t="s">
        <v>52</v>
      </c>
      <c r="C253">
        <v>496.95780000000002</v>
      </c>
      <c r="D253">
        <v>918.28737000000001</v>
      </c>
    </row>
    <row r="254" spans="1:4" x14ac:dyDescent="0.35">
      <c r="A254" t="s">
        <v>16</v>
      </c>
      <c r="B254" t="s">
        <v>139</v>
      </c>
      <c r="C254">
        <v>2087.8787200000002</v>
      </c>
      <c r="D254">
        <v>3911.1866100000002</v>
      </c>
    </row>
    <row r="255" spans="1:4" x14ac:dyDescent="0.35">
      <c r="A255" t="s">
        <v>16</v>
      </c>
      <c r="B255" t="s">
        <v>240</v>
      </c>
      <c r="C255">
        <v>1488.2464299999999</v>
      </c>
      <c r="D255">
        <v>2774.5911599999999</v>
      </c>
    </row>
    <row r="256" spans="1:4" x14ac:dyDescent="0.35">
      <c r="A256" t="s">
        <v>16</v>
      </c>
      <c r="B256" t="s">
        <v>78</v>
      </c>
      <c r="C256">
        <v>589.71903999999995</v>
      </c>
      <c r="D256">
        <v>1274.95598</v>
      </c>
    </row>
    <row r="257" spans="1:4" x14ac:dyDescent="0.35">
      <c r="A257" t="s">
        <v>16</v>
      </c>
      <c r="B257" t="s">
        <v>118</v>
      </c>
      <c r="C257">
        <v>879.03119000000004</v>
      </c>
      <c r="D257">
        <v>1705.8184799999999</v>
      </c>
    </row>
    <row r="258" spans="1:4" x14ac:dyDescent="0.35">
      <c r="A258" t="s">
        <v>16</v>
      </c>
      <c r="B258" t="s">
        <v>53</v>
      </c>
      <c r="C258">
        <v>602.99442999999997</v>
      </c>
      <c r="D258">
        <v>1115.56582</v>
      </c>
    </row>
    <row r="259" spans="1:4" x14ac:dyDescent="0.35">
      <c r="A259" t="s">
        <v>16</v>
      </c>
      <c r="B259" t="s">
        <v>79</v>
      </c>
      <c r="C259">
        <v>1515.4358500000001</v>
      </c>
      <c r="D259">
        <v>2651.04216</v>
      </c>
    </row>
    <row r="260" spans="1:4" x14ac:dyDescent="0.35">
      <c r="A260" t="s">
        <v>16</v>
      </c>
      <c r="B260" t="s">
        <v>71</v>
      </c>
      <c r="C260">
        <v>1256.88168</v>
      </c>
      <c r="D260">
        <v>2928.12977</v>
      </c>
    </row>
    <row r="261" spans="1:4" x14ac:dyDescent="0.35">
      <c r="A261" t="s">
        <v>16</v>
      </c>
      <c r="B261" t="s">
        <v>48</v>
      </c>
      <c r="C261">
        <v>617.95673999999997</v>
      </c>
      <c r="D261">
        <v>1310.3147100000001</v>
      </c>
    </row>
    <row r="262" spans="1:4" x14ac:dyDescent="0.35">
      <c r="A262" t="s">
        <v>16</v>
      </c>
      <c r="B262" t="s">
        <v>85</v>
      </c>
      <c r="C262">
        <v>1291.7607700000001</v>
      </c>
      <c r="D262">
        <v>2401.3101700000002</v>
      </c>
    </row>
    <row r="263" spans="1:4" x14ac:dyDescent="0.35">
      <c r="A263" t="s">
        <v>16</v>
      </c>
      <c r="B263" t="s">
        <v>93</v>
      </c>
      <c r="C263">
        <v>708.91101000000003</v>
      </c>
      <c r="D263">
        <v>1524.02367</v>
      </c>
    </row>
    <row r="264" spans="1:4" x14ac:dyDescent="0.35">
      <c r="A264" t="s">
        <v>16</v>
      </c>
      <c r="B264" t="s">
        <v>59</v>
      </c>
      <c r="C264">
        <v>712.87369000000001</v>
      </c>
      <c r="D264">
        <v>1617.3430000000001</v>
      </c>
    </row>
    <row r="265" spans="1:4" x14ac:dyDescent="0.35">
      <c r="A265" t="s">
        <v>16</v>
      </c>
      <c r="B265" t="s">
        <v>100</v>
      </c>
      <c r="C265">
        <v>463.97284999999999</v>
      </c>
      <c r="D265">
        <v>1053.4316699999999</v>
      </c>
    </row>
    <row r="266" spans="1:4" x14ac:dyDescent="0.35">
      <c r="A266" t="s">
        <v>16</v>
      </c>
      <c r="B266" t="s">
        <v>6</v>
      </c>
      <c r="C266">
        <v>990.38306999999998</v>
      </c>
      <c r="D266">
        <v>2121.6562899999999</v>
      </c>
    </row>
    <row r="267" spans="1:4" x14ac:dyDescent="0.35">
      <c r="A267" t="s">
        <v>16</v>
      </c>
      <c r="B267" t="s">
        <v>70</v>
      </c>
      <c r="C267">
        <v>1187.47218</v>
      </c>
      <c r="D267">
        <v>3095.7849999999999</v>
      </c>
    </row>
    <row r="268" spans="1:4" x14ac:dyDescent="0.35">
      <c r="A268" t="s">
        <v>16</v>
      </c>
      <c r="B268" t="s">
        <v>63</v>
      </c>
      <c r="C268">
        <v>841.78224999999998</v>
      </c>
      <c r="D268">
        <v>1446.87844</v>
      </c>
    </row>
    <row r="269" spans="1:4" x14ac:dyDescent="0.35">
      <c r="A269" t="s">
        <v>16</v>
      </c>
      <c r="B269" t="s">
        <v>117</v>
      </c>
      <c r="C269">
        <v>1154.36472</v>
      </c>
      <c r="D269">
        <v>2249.2873800000002</v>
      </c>
    </row>
    <row r="270" spans="1:4" x14ac:dyDescent="0.35">
      <c r="A270" t="s">
        <v>16</v>
      </c>
      <c r="B270" t="s">
        <v>47</v>
      </c>
      <c r="C270">
        <v>1603.6605500000001</v>
      </c>
      <c r="D270">
        <v>3362.5292300000001</v>
      </c>
    </row>
    <row r="271" spans="1:4" x14ac:dyDescent="0.35">
      <c r="A271" t="s">
        <v>16</v>
      </c>
      <c r="B271" t="s">
        <v>54</v>
      </c>
      <c r="C271">
        <v>419.96424999999999</v>
      </c>
      <c r="D271">
        <v>852.04102</v>
      </c>
    </row>
    <row r="272" spans="1:4" x14ac:dyDescent="0.35">
      <c r="A272" t="s">
        <v>16</v>
      </c>
      <c r="B272" t="s">
        <v>43</v>
      </c>
      <c r="C272">
        <v>1115.0308199999999</v>
      </c>
      <c r="D272">
        <v>2258.5392000000002</v>
      </c>
    </row>
    <row r="273" spans="1:4" x14ac:dyDescent="0.35">
      <c r="A273" t="s">
        <v>16</v>
      </c>
      <c r="B273" t="s">
        <v>95</v>
      </c>
      <c r="C273">
        <v>562.90625</v>
      </c>
      <c r="D273">
        <v>1181.2777900000001</v>
      </c>
    </row>
    <row r="274" spans="1:4" x14ac:dyDescent="0.35">
      <c r="A274" t="s">
        <v>16</v>
      </c>
      <c r="B274" t="s">
        <v>119</v>
      </c>
      <c r="C274">
        <v>1294.9191599999999</v>
      </c>
      <c r="D274">
        <v>2755.7989699999998</v>
      </c>
    </row>
    <row r="275" spans="1:4" x14ac:dyDescent="0.35">
      <c r="A275" t="s">
        <v>16</v>
      </c>
      <c r="B275" t="s">
        <v>124</v>
      </c>
      <c r="C275">
        <v>1028.1621600000001</v>
      </c>
      <c r="D275">
        <v>1784.7513200000001</v>
      </c>
    </row>
    <row r="276" spans="1:4" x14ac:dyDescent="0.35">
      <c r="A276" t="s">
        <v>16</v>
      </c>
      <c r="B276" t="s">
        <v>102</v>
      </c>
      <c r="C276">
        <v>737.29539999999997</v>
      </c>
      <c r="D276">
        <v>1329.4644699999999</v>
      </c>
    </row>
    <row r="277" spans="1:4" x14ac:dyDescent="0.35">
      <c r="A277" t="s">
        <v>16</v>
      </c>
      <c r="B277" t="s">
        <v>62</v>
      </c>
      <c r="C277">
        <v>1290.80312</v>
      </c>
      <c r="D277">
        <v>2871.8332599999999</v>
      </c>
    </row>
    <row r="278" spans="1:4" x14ac:dyDescent="0.35">
      <c r="A278" t="s">
        <v>16</v>
      </c>
      <c r="B278" t="s">
        <v>132</v>
      </c>
      <c r="C278">
        <v>733.26459</v>
      </c>
      <c r="D278">
        <v>2024.3265799999999</v>
      </c>
    </row>
    <row r="279" spans="1:4" x14ac:dyDescent="0.35">
      <c r="A279" t="s">
        <v>16</v>
      </c>
      <c r="B279" t="s">
        <v>140</v>
      </c>
      <c r="C279">
        <v>2102.5194999999999</v>
      </c>
      <c r="D279">
        <v>3982.6970200000001</v>
      </c>
    </row>
    <row r="280" spans="1:4" x14ac:dyDescent="0.35">
      <c r="A280" t="s">
        <v>16</v>
      </c>
      <c r="B280" t="s">
        <v>94</v>
      </c>
      <c r="C280">
        <v>911.40382</v>
      </c>
      <c r="D280">
        <v>1900.63726</v>
      </c>
    </row>
    <row r="281" spans="1:4" x14ac:dyDescent="0.35">
      <c r="A281" t="s">
        <v>16</v>
      </c>
      <c r="B281" t="s">
        <v>44</v>
      </c>
      <c r="C281">
        <v>274.89146</v>
      </c>
      <c r="D281">
        <v>657.86662000000001</v>
      </c>
    </row>
    <row r="282" spans="1:4" x14ac:dyDescent="0.35">
      <c r="A282" t="s">
        <v>16</v>
      </c>
      <c r="B282" t="s">
        <v>74</v>
      </c>
      <c r="C282">
        <v>1158.5853500000001</v>
      </c>
      <c r="D282">
        <v>2501.8150900000001</v>
      </c>
    </row>
    <row r="283" spans="1:4" x14ac:dyDescent="0.35">
      <c r="A283" t="s">
        <v>16</v>
      </c>
      <c r="B283" t="s">
        <v>72</v>
      </c>
      <c r="C283">
        <v>1838.09375</v>
      </c>
      <c r="D283">
        <v>3689.64365</v>
      </c>
    </row>
    <row r="284" spans="1:4" x14ac:dyDescent="0.35">
      <c r="A284" t="s">
        <v>16</v>
      </c>
      <c r="B284" t="s">
        <v>137</v>
      </c>
      <c r="C284">
        <v>788.33654999999999</v>
      </c>
      <c r="D284">
        <v>1879.4266600000001</v>
      </c>
    </row>
    <row r="285" spans="1:4" x14ac:dyDescent="0.35">
      <c r="A285" t="s">
        <v>16</v>
      </c>
      <c r="B285" t="s">
        <v>112</v>
      </c>
      <c r="C285">
        <v>2030.10835</v>
      </c>
      <c r="D285">
        <v>3911.4308500000002</v>
      </c>
    </row>
    <row r="286" spans="1:4" x14ac:dyDescent="0.35">
      <c r="A286" t="s">
        <v>16</v>
      </c>
      <c r="B286" t="s">
        <v>75</v>
      </c>
      <c r="C286">
        <v>906.23024999999996</v>
      </c>
      <c r="D286">
        <v>1759.35806</v>
      </c>
    </row>
    <row r="287" spans="1:4" x14ac:dyDescent="0.35">
      <c r="A287" t="s">
        <v>16</v>
      </c>
      <c r="B287" t="s">
        <v>113</v>
      </c>
      <c r="C287">
        <v>665.22009000000003</v>
      </c>
      <c r="D287">
        <v>1174.9604099999999</v>
      </c>
    </row>
    <row r="288" spans="1:4" x14ac:dyDescent="0.35">
      <c r="A288" t="s">
        <v>16</v>
      </c>
      <c r="B288" t="s">
        <v>46</v>
      </c>
      <c r="C288">
        <v>721.17062999999996</v>
      </c>
      <c r="D288">
        <v>1279.5083999999999</v>
      </c>
    </row>
    <row r="289" spans="1:4" x14ac:dyDescent="0.35">
      <c r="A289" t="s">
        <v>16</v>
      </c>
      <c r="B289" t="s">
        <v>114</v>
      </c>
      <c r="C289">
        <v>651.43926999999996</v>
      </c>
      <c r="D289">
        <v>1318.67119</v>
      </c>
    </row>
    <row r="290" spans="1:4" x14ac:dyDescent="0.35">
      <c r="A290" t="s">
        <v>16</v>
      </c>
      <c r="B290" t="s">
        <v>128</v>
      </c>
      <c r="C290">
        <v>790.54526999999996</v>
      </c>
      <c r="D290">
        <v>1901.2868599999999</v>
      </c>
    </row>
    <row r="291" spans="1:4" x14ac:dyDescent="0.35">
      <c r="A291" t="s">
        <v>16</v>
      </c>
      <c r="B291" t="s">
        <v>89</v>
      </c>
      <c r="C291">
        <v>395.58375000000001</v>
      </c>
      <c r="D291">
        <v>955.48949000000005</v>
      </c>
    </row>
    <row r="292" spans="1:4" x14ac:dyDescent="0.35">
      <c r="A292" t="s">
        <v>16</v>
      </c>
      <c r="B292" t="s">
        <v>241</v>
      </c>
      <c r="C292">
        <v>683.74258999999995</v>
      </c>
      <c r="D292">
        <v>1703.32446</v>
      </c>
    </row>
    <row r="293" spans="1:4" x14ac:dyDescent="0.35">
      <c r="A293" t="s">
        <v>16</v>
      </c>
      <c r="B293" t="s">
        <v>134</v>
      </c>
      <c r="C293">
        <v>850.07851000000005</v>
      </c>
      <c r="D293">
        <v>1946.1398200000001</v>
      </c>
    </row>
    <row r="294" spans="1:4" x14ac:dyDescent="0.35">
      <c r="A294" t="s">
        <v>16</v>
      </c>
      <c r="B294" t="s">
        <v>107</v>
      </c>
      <c r="C294">
        <v>2908.0403200000001</v>
      </c>
      <c r="D294">
        <v>5647.42533</v>
      </c>
    </row>
    <row r="295" spans="1:4" x14ac:dyDescent="0.35">
      <c r="A295" t="s">
        <v>16</v>
      </c>
      <c r="B295" t="s">
        <v>67</v>
      </c>
      <c r="C295">
        <v>469.13772</v>
      </c>
      <c r="D295">
        <v>1104.1565900000001</v>
      </c>
    </row>
    <row r="296" spans="1:4" x14ac:dyDescent="0.35">
      <c r="A296" t="s">
        <v>16</v>
      </c>
      <c r="B296" t="s">
        <v>111</v>
      </c>
      <c r="C296">
        <v>1677.61582</v>
      </c>
      <c r="D296">
        <v>3352.8891199999998</v>
      </c>
    </row>
    <row r="297" spans="1:4" x14ac:dyDescent="0.35">
      <c r="A297" t="s">
        <v>16</v>
      </c>
      <c r="B297" t="s">
        <v>122</v>
      </c>
      <c r="C297">
        <v>1127.0101999999999</v>
      </c>
      <c r="D297">
        <v>2245.5807799999998</v>
      </c>
    </row>
    <row r="298" spans="1:4" x14ac:dyDescent="0.35">
      <c r="A298" t="s">
        <v>16</v>
      </c>
      <c r="B298" t="s">
        <v>123</v>
      </c>
      <c r="C298">
        <v>2226.9610200000002</v>
      </c>
      <c r="D298">
        <v>4417.1883600000001</v>
      </c>
    </row>
    <row r="299" spans="1:4" x14ac:dyDescent="0.35">
      <c r="A299" t="s">
        <v>16</v>
      </c>
      <c r="B299" t="s">
        <v>80</v>
      </c>
      <c r="C299">
        <v>1477.23001</v>
      </c>
      <c r="D299">
        <v>3040.9820199999999</v>
      </c>
    </row>
    <row r="300" spans="1:4" x14ac:dyDescent="0.35">
      <c r="A300" t="s">
        <v>16</v>
      </c>
      <c r="B300" t="s">
        <v>138</v>
      </c>
      <c r="C300">
        <v>806.86602000000005</v>
      </c>
      <c r="D300">
        <v>1758.0522699999999</v>
      </c>
    </row>
    <row r="301" spans="1:4" x14ac:dyDescent="0.35">
      <c r="A301" t="s">
        <v>16</v>
      </c>
      <c r="B301" t="s">
        <v>98</v>
      </c>
      <c r="C301">
        <v>538.99675000000002</v>
      </c>
      <c r="D301">
        <v>1217.3053</v>
      </c>
    </row>
    <row r="302" spans="1:4" x14ac:dyDescent="0.35">
      <c r="A302" t="s">
        <v>16</v>
      </c>
      <c r="B302" t="s">
        <v>99</v>
      </c>
      <c r="C302">
        <v>721.072</v>
      </c>
      <c r="D302">
        <v>1453.8642400000001</v>
      </c>
    </row>
    <row r="303" spans="1:4" x14ac:dyDescent="0.35">
      <c r="A303" t="s">
        <v>16</v>
      </c>
      <c r="B303" t="s">
        <v>131</v>
      </c>
      <c r="C303">
        <v>2331.6226900000001</v>
      </c>
      <c r="D303">
        <v>4841.7958099999996</v>
      </c>
    </row>
    <row r="304" spans="1:4" x14ac:dyDescent="0.35">
      <c r="A304" t="s">
        <v>16</v>
      </c>
      <c r="B304" t="s">
        <v>84</v>
      </c>
      <c r="C304">
        <v>745.08249999999998</v>
      </c>
      <c r="D304">
        <v>1382.2477899999999</v>
      </c>
    </row>
    <row r="305" spans="1:4" x14ac:dyDescent="0.35">
      <c r="A305" t="s">
        <v>16</v>
      </c>
      <c r="B305" t="s">
        <v>96</v>
      </c>
      <c r="C305">
        <v>698.08712000000003</v>
      </c>
      <c r="D305">
        <v>1630.5938900000001</v>
      </c>
    </row>
    <row r="306" spans="1:4" x14ac:dyDescent="0.35">
      <c r="A306" t="s">
        <v>16</v>
      </c>
      <c r="B306" t="s">
        <v>88</v>
      </c>
      <c r="C306">
        <v>1145.1011100000001</v>
      </c>
      <c r="D306">
        <v>2707.9112</v>
      </c>
    </row>
    <row r="307" spans="1:4" x14ac:dyDescent="0.35">
      <c r="A307" t="s">
        <v>16</v>
      </c>
      <c r="B307" t="s">
        <v>0</v>
      </c>
      <c r="C307">
        <v>526.97049000000004</v>
      </c>
      <c r="D307">
        <v>1352.0344500000001</v>
      </c>
    </row>
    <row r="308" spans="1:4" x14ac:dyDescent="0.35">
      <c r="A308" t="s">
        <v>16</v>
      </c>
      <c r="B308" t="s">
        <v>5</v>
      </c>
      <c r="C308">
        <v>402.214</v>
      </c>
      <c r="D308">
        <v>695.70312999999999</v>
      </c>
    </row>
    <row r="309" spans="1:4" x14ac:dyDescent="0.35">
      <c r="A309" t="s">
        <v>16</v>
      </c>
      <c r="B309" t="s">
        <v>4</v>
      </c>
      <c r="C309">
        <v>459.44529999999997</v>
      </c>
      <c r="D309">
        <v>1506.17761</v>
      </c>
    </row>
    <row r="310" spans="1:4" x14ac:dyDescent="0.35">
      <c r="A310" t="s">
        <v>16</v>
      </c>
      <c r="B310" t="s">
        <v>86</v>
      </c>
      <c r="C310">
        <v>1245.8095000000001</v>
      </c>
      <c r="D310">
        <v>2754.41588</v>
      </c>
    </row>
    <row r="311" spans="1:4" x14ac:dyDescent="0.35">
      <c r="A311" t="s">
        <v>16</v>
      </c>
      <c r="B311" t="s">
        <v>50</v>
      </c>
      <c r="C311">
        <v>2125.6292199999998</v>
      </c>
      <c r="D311">
        <v>4193.1062700000002</v>
      </c>
    </row>
    <row r="312" spans="1:4" x14ac:dyDescent="0.35">
      <c r="A312" t="s">
        <v>16</v>
      </c>
      <c r="B312" t="s">
        <v>56</v>
      </c>
      <c r="C312">
        <v>1265.0015599999999</v>
      </c>
      <c r="D312">
        <v>2226.8652200000001</v>
      </c>
    </row>
    <row r="313" spans="1:4" x14ac:dyDescent="0.35">
      <c r="A313" t="s">
        <v>16</v>
      </c>
      <c r="B313" t="s">
        <v>60</v>
      </c>
      <c r="C313">
        <v>530.9624</v>
      </c>
      <c r="D313">
        <v>1022.52657</v>
      </c>
    </row>
    <row r="314" spans="1:4" x14ac:dyDescent="0.35">
      <c r="A314" t="s">
        <v>16</v>
      </c>
      <c r="B314" t="s">
        <v>61</v>
      </c>
      <c r="C314">
        <v>1222.8839</v>
      </c>
      <c r="D314">
        <v>2890.58169</v>
      </c>
    </row>
    <row r="315" spans="1:4" x14ac:dyDescent="0.35">
      <c r="A315" t="s">
        <v>16</v>
      </c>
      <c r="B315" t="s">
        <v>3</v>
      </c>
      <c r="C315">
        <v>530.55909999999994</v>
      </c>
      <c r="D315">
        <v>1150.80618</v>
      </c>
    </row>
    <row r="316" spans="1:4" x14ac:dyDescent="0.35">
      <c r="A316" t="s">
        <v>16</v>
      </c>
      <c r="B316" t="s">
        <v>126</v>
      </c>
      <c r="C316">
        <v>991.76307999999995</v>
      </c>
      <c r="D316">
        <v>1591.5371700000001</v>
      </c>
    </row>
    <row r="317" spans="1:4" x14ac:dyDescent="0.35">
      <c r="A317" t="s">
        <v>16</v>
      </c>
      <c r="B317" t="s">
        <v>242</v>
      </c>
      <c r="C317">
        <v>578.53512000000001</v>
      </c>
      <c r="D317">
        <v>1029.5820900000001</v>
      </c>
    </row>
    <row r="318" spans="1:4" x14ac:dyDescent="0.35">
      <c r="A318" t="s">
        <v>16</v>
      </c>
      <c r="B318" t="s">
        <v>125</v>
      </c>
      <c r="C318">
        <v>730.12806999999998</v>
      </c>
      <c r="D318">
        <v>1515.12302</v>
      </c>
    </row>
    <row r="319" spans="1:4" x14ac:dyDescent="0.35">
      <c r="A319" t="s">
        <v>16</v>
      </c>
      <c r="B319" t="s">
        <v>68</v>
      </c>
      <c r="C319">
        <v>453.04520000000002</v>
      </c>
      <c r="D319">
        <v>971.67638999999997</v>
      </c>
    </row>
    <row r="320" spans="1:4" x14ac:dyDescent="0.35">
      <c r="A320" t="s">
        <v>16</v>
      </c>
      <c r="B320" t="s">
        <v>90</v>
      </c>
      <c r="C320">
        <v>1221.78952</v>
      </c>
      <c r="D320">
        <v>2217.4716199999998</v>
      </c>
    </row>
    <row r="321" spans="1:4" x14ac:dyDescent="0.35">
      <c r="A321" t="s">
        <v>16</v>
      </c>
      <c r="B321" t="s">
        <v>243</v>
      </c>
      <c r="C321">
        <v>489.19326000000001</v>
      </c>
      <c r="D321">
        <v>923.17998999999998</v>
      </c>
    </row>
    <row r="322" spans="1:4" x14ac:dyDescent="0.35">
      <c r="A322" t="s">
        <v>16</v>
      </c>
      <c r="B322" t="s">
        <v>69</v>
      </c>
      <c r="C322">
        <v>1665.7014899999999</v>
      </c>
      <c r="D322">
        <v>3494.00497</v>
      </c>
    </row>
    <row r="323" spans="1:4" x14ac:dyDescent="0.35">
      <c r="A323" t="s">
        <v>16</v>
      </c>
      <c r="B323" t="s">
        <v>244</v>
      </c>
      <c r="C323">
        <v>1008.52675</v>
      </c>
      <c r="D323">
        <v>1993.69118</v>
      </c>
    </row>
    <row r="324" spans="1:4" x14ac:dyDescent="0.35">
      <c r="A324" t="s">
        <v>16</v>
      </c>
      <c r="B324" t="s">
        <v>245</v>
      </c>
      <c r="C324">
        <v>643.79184999999995</v>
      </c>
      <c r="D324">
        <v>2338.8133699999998</v>
      </c>
    </row>
    <row r="325" spans="1:4" x14ac:dyDescent="0.35">
      <c r="A325" t="s">
        <v>16</v>
      </c>
      <c r="B325" t="s">
        <v>246</v>
      </c>
      <c r="C325">
        <v>917.91296999999997</v>
      </c>
      <c r="D325">
        <v>2593.8879299999999</v>
      </c>
    </row>
    <row r="326" spans="1:4" x14ac:dyDescent="0.35">
      <c r="A326" t="s">
        <v>16</v>
      </c>
      <c r="B326" t="s">
        <v>135</v>
      </c>
      <c r="C326">
        <v>1041.0933399999999</v>
      </c>
      <c r="D326">
        <v>2393.5234399999999</v>
      </c>
    </row>
    <row r="327" spans="1:4" x14ac:dyDescent="0.35">
      <c r="A327" t="s">
        <v>16</v>
      </c>
      <c r="B327" t="s">
        <v>116</v>
      </c>
      <c r="C327">
        <v>641.74255000000005</v>
      </c>
      <c r="D327">
        <v>1935.93085</v>
      </c>
    </row>
    <row r="328" spans="1:4" x14ac:dyDescent="0.35">
      <c r="A328" t="s">
        <v>16</v>
      </c>
      <c r="B328" t="s">
        <v>247</v>
      </c>
      <c r="C328">
        <v>594.07800999999995</v>
      </c>
      <c r="D328">
        <v>1694.53712</v>
      </c>
    </row>
    <row r="329" spans="1:4" x14ac:dyDescent="0.35">
      <c r="A329" t="s">
        <v>16</v>
      </c>
      <c r="B329" t="s">
        <v>41</v>
      </c>
      <c r="C329">
        <v>3419.7362199999998</v>
      </c>
      <c r="D329">
        <v>8200.3163299999997</v>
      </c>
    </row>
    <row r="330" spans="1:4" x14ac:dyDescent="0.35">
      <c r="A330" t="s">
        <v>16</v>
      </c>
      <c r="B330" t="s">
        <v>91</v>
      </c>
      <c r="C330">
        <v>1940.4384</v>
      </c>
      <c r="D330">
        <v>5162.9536399999997</v>
      </c>
    </row>
    <row r="331" spans="1:4" x14ac:dyDescent="0.35">
      <c r="A331" t="s">
        <v>16</v>
      </c>
      <c r="B331" t="s">
        <v>127</v>
      </c>
      <c r="C331">
        <v>608.21455000000003</v>
      </c>
      <c r="D331">
        <v>1567.71442</v>
      </c>
    </row>
    <row r="332" spans="1:4" x14ac:dyDescent="0.35">
      <c r="A332" t="s">
        <v>16</v>
      </c>
      <c r="B332" t="s">
        <v>92</v>
      </c>
      <c r="C332">
        <v>396.89055000000002</v>
      </c>
      <c r="D332">
        <v>1075.0637300000001</v>
      </c>
    </row>
    <row r="333" spans="1:4" x14ac:dyDescent="0.35">
      <c r="A333" t="s">
        <v>16</v>
      </c>
      <c r="B333" t="s">
        <v>248</v>
      </c>
      <c r="C333">
        <v>606.27486999999996</v>
      </c>
      <c r="D333">
        <v>1705.5550000000001</v>
      </c>
    </row>
    <row r="334" spans="1:4" x14ac:dyDescent="0.35">
      <c r="A334" t="s">
        <v>16</v>
      </c>
      <c r="B334" t="s">
        <v>82</v>
      </c>
      <c r="C334">
        <v>528.70903999999996</v>
      </c>
      <c r="D334">
        <v>1180.87339</v>
      </c>
    </row>
    <row r="335" spans="1:4" x14ac:dyDescent="0.35">
      <c r="A335" t="s">
        <v>16</v>
      </c>
      <c r="B335" t="s">
        <v>249</v>
      </c>
      <c r="C335">
        <v>278.56585999999999</v>
      </c>
      <c r="D335">
        <v>660.55755999999997</v>
      </c>
    </row>
    <row r="336" spans="1:4" x14ac:dyDescent="0.35">
      <c r="A336" t="s">
        <v>16</v>
      </c>
      <c r="B336" t="s">
        <v>2</v>
      </c>
      <c r="C336">
        <v>1668.78043</v>
      </c>
      <c r="D336">
        <v>3707.7640900000001</v>
      </c>
    </row>
    <row r="337" spans="1:4" x14ac:dyDescent="0.35">
      <c r="A337" t="s">
        <v>16</v>
      </c>
      <c r="B337" t="s">
        <v>55</v>
      </c>
      <c r="C337">
        <v>1249.84131</v>
      </c>
      <c r="D337">
        <v>2584.2503299999998</v>
      </c>
    </row>
    <row r="338" spans="1:4" x14ac:dyDescent="0.35">
      <c r="A338" t="s">
        <v>16</v>
      </c>
      <c r="B338" t="s">
        <v>250</v>
      </c>
      <c r="C338">
        <v>459.84509000000003</v>
      </c>
      <c r="D338">
        <v>1298.6862699999999</v>
      </c>
    </row>
    <row r="339" spans="1:4" x14ac:dyDescent="0.35">
      <c r="A339" t="s">
        <v>16</v>
      </c>
      <c r="B339" t="s">
        <v>129</v>
      </c>
      <c r="C339">
        <v>438.24943999999999</v>
      </c>
      <c r="D339">
        <v>1030.4555800000001</v>
      </c>
    </row>
    <row r="340" spans="1:4" x14ac:dyDescent="0.35">
      <c r="A340" t="s">
        <v>16</v>
      </c>
      <c r="B340" t="s">
        <v>251</v>
      </c>
      <c r="C340">
        <v>675.70003999999994</v>
      </c>
      <c r="D340">
        <v>1481.0392400000001</v>
      </c>
    </row>
    <row r="341" spans="1:4" x14ac:dyDescent="0.35">
      <c r="A341" t="s">
        <v>16</v>
      </c>
      <c r="B341" t="s">
        <v>65</v>
      </c>
      <c r="C341">
        <v>416.53134999999997</v>
      </c>
      <c r="D341">
        <v>1012.86014</v>
      </c>
    </row>
    <row r="342" spans="1:4" x14ac:dyDescent="0.35">
      <c r="A342" t="s">
        <v>16</v>
      </c>
      <c r="B342" t="s">
        <v>101</v>
      </c>
      <c r="C342">
        <v>727.47856999999999</v>
      </c>
      <c r="D342">
        <v>1573.1960300000001</v>
      </c>
    </row>
    <row r="343" spans="1:4" x14ac:dyDescent="0.35">
      <c r="A343" t="s">
        <v>16</v>
      </c>
      <c r="B343" t="s">
        <v>66</v>
      </c>
      <c r="C343">
        <v>419.92101000000002</v>
      </c>
      <c r="D343">
        <v>1099.96037</v>
      </c>
    </row>
    <row r="344" spans="1:4" x14ac:dyDescent="0.35">
      <c r="A344" t="s">
        <v>16</v>
      </c>
      <c r="B344" t="s">
        <v>73</v>
      </c>
      <c r="C344">
        <v>1729.7167400000001</v>
      </c>
      <c r="D344">
        <v>3985.0216300000002</v>
      </c>
    </row>
    <row r="345" spans="1:4" x14ac:dyDescent="0.35">
      <c r="A345" t="s">
        <v>16</v>
      </c>
      <c r="B345" t="s">
        <v>136</v>
      </c>
      <c r="C345">
        <v>898.41962000000001</v>
      </c>
      <c r="D345">
        <v>2266.2475399999998</v>
      </c>
    </row>
    <row r="346" spans="1:4" x14ac:dyDescent="0.35">
      <c r="A346" t="s">
        <v>16</v>
      </c>
      <c r="B346" t="s">
        <v>105</v>
      </c>
      <c r="C346">
        <v>469.34255000000002</v>
      </c>
      <c r="D346">
        <v>1279.9671800000001</v>
      </c>
    </row>
    <row r="347" spans="1:4" x14ac:dyDescent="0.35">
      <c r="A347" t="s">
        <v>16</v>
      </c>
      <c r="B347" t="s">
        <v>109</v>
      </c>
      <c r="C347">
        <v>1906.02061</v>
      </c>
      <c r="D347">
        <v>4427.9476299999997</v>
      </c>
    </row>
    <row r="348" spans="1:4" x14ac:dyDescent="0.35">
      <c r="A348" t="s">
        <v>16</v>
      </c>
      <c r="B348" t="s">
        <v>97</v>
      </c>
      <c r="C348">
        <v>626.07048999999995</v>
      </c>
      <c r="D348">
        <v>1794.8313599999999</v>
      </c>
    </row>
    <row r="349" spans="1:4" x14ac:dyDescent="0.35">
      <c r="A349" t="s">
        <v>16</v>
      </c>
      <c r="B349" t="s">
        <v>120</v>
      </c>
      <c r="C349">
        <v>521.1069</v>
      </c>
      <c r="D349">
        <v>1383.60313</v>
      </c>
    </row>
    <row r="350" spans="1:4" x14ac:dyDescent="0.35">
      <c r="A350" t="s">
        <v>16</v>
      </c>
      <c r="B350" t="s">
        <v>110</v>
      </c>
      <c r="C350">
        <v>744.33969000000002</v>
      </c>
      <c r="D350">
        <v>2155.0432900000001</v>
      </c>
    </row>
    <row r="351" spans="1:4" x14ac:dyDescent="0.35">
      <c r="A351" t="s">
        <v>16</v>
      </c>
      <c r="B351" t="s">
        <v>115</v>
      </c>
      <c r="C351">
        <v>1113.43454</v>
      </c>
      <c r="D351">
        <v>2697.68028</v>
      </c>
    </row>
    <row r="352" spans="1:4" x14ac:dyDescent="0.35">
      <c r="A352" t="s">
        <v>16</v>
      </c>
      <c r="B352" t="s">
        <v>42</v>
      </c>
      <c r="C352">
        <v>938.59469999999999</v>
      </c>
      <c r="D352">
        <v>2891.8604399999999</v>
      </c>
    </row>
    <row r="353" spans="1:4" x14ac:dyDescent="0.35">
      <c r="A353" t="s">
        <v>16</v>
      </c>
      <c r="B353" t="s">
        <v>58</v>
      </c>
      <c r="C353">
        <v>391.58199999999999</v>
      </c>
      <c r="D353">
        <v>1595.77055</v>
      </c>
    </row>
    <row r="354" spans="1:4" x14ac:dyDescent="0.35">
      <c r="A354" t="s">
        <v>16</v>
      </c>
      <c r="B354" t="s">
        <v>121</v>
      </c>
      <c r="C354">
        <v>1260.9582499999999</v>
      </c>
      <c r="D354">
        <v>2346.16572</v>
      </c>
    </row>
    <row r="355" spans="1:4" x14ac:dyDescent="0.35">
      <c r="A355" t="s">
        <v>16</v>
      </c>
      <c r="B355" t="s">
        <v>81</v>
      </c>
      <c r="C355">
        <v>675.19539999999995</v>
      </c>
      <c r="D355">
        <v>1649.02125</v>
      </c>
    </row>
    <row r="356" spans="1:4" x14ac:dyDescent="0.35">
      <c r="A356" t="s">
        <v>16</v>
      </c>
      <c r="B356" t="s">
        <v>57</v>
      </c>
      <c r="C356">
        <v>931.56259</v>
      </c>
      <c r="D356">
        <v>2058.2380600000001</v>
      </c>
    </row>
    <row r="357" spans="1:4" x14ac:dyDescent="0.35">
      <c r="A357" t="s">
        <v>16</v>
      </c>
      <c r="B357" t="s">
        <v>1</v>
      </c>
      <c r="C357">
        <v>344.56009</v>
      </c>
      <c r="D357">
        <v>748.24275999999998</v>
      </c>
    </row>
    <row r="358" spans="1:4" x14ac:dyDescent="0.35">
      <c r="A358" t="s">
        <v>16</v>
      </c>
      <c r="B358" t="s">
        <v>49</v>
      </c>
      <c r="C358">
        <v>775.68375000000003</v>
      </c>
      <c r="D358">
        <v>1543.5336299999999</v>
      </c>
    </row>
    <row r="359" spans="1:4" x14ac:dyDescent="0.35">
      <c r="A359" t="s">
        <v>16</v>
      </c>
      <c r="B359" t="s">
        <v>130</v>
      </c>
      <c r="C359">
        <v>697.42868999999996</v>
      </c>
      <c r="D359">
        <v>1567.93887</v>
      </c>
    </row>
    <row r="360" spans="1:4" x14ac:dyDescent="0.35">
      <c r="A360" t="s">
        <v>16</v>
      </c>
      <c r="B360" t="s">
        <v>106</v>
      </c>
      <c r="C360">
        <v>2414.2785199999998</v>
      </c>
      <c r="D360">
        <v>4302.4722000000002</v>
      </c>
    </row>
    <row r="361" spans="1:4" x14ac:dyDescent="0.35">
      <c r="A361" t="s">
        <v>16</v>
      </c>
      <c r="B361" t="s">
        <v>133</v>
      </c>
      <c r="C361">
        <v>925.66538000000003</v>
      </c>
      <c r="D361">
        <v>1889.5662</v>
      </c>
    </row>
    <row r="362" spans="1:4" x14ac:dyDescent="0.35">
      <c r="A362" t="s">
        <v>26</v>
      </c>
      <c r="B362" t="s">
        <v>76</v>
      </c>
      <c r="C362">
        <v>3092.86886</v>
      </c>
      <c r="D362">
        <v>6321.6100200000001</v>
      </c>
    </row>
    <row r="363" spans="1:4" x14ac:dyDescent="0.35">
      <c r="A363" t="s">
        <v>26</v>
      </c>
      <c r="B363" t="s">
        <v>83</v>
      </c>
      <c r="C363">
        <v>2467.2451700000001</v>
      </c>
      <c r="D363">
        <v>4350.4582099999998</v>
      </c>
    </row>
    <row r="364" spans="1:4" x14ac:dyDescent="0.35">
      <c r="A364" t="s">
        <v>26</v>
      </c>
      <c r="B364" t="s">
        <v>77</v>
      </c>
      <c r="C364">
        <v>1067.61338</v>
      </c>
      <c r="D364">
        <v>2273.8302399999998</v>
      </c>
    </row>
    <row r="365" spans="1:4" x14ac:dyDescent="0.35">
      <c r="A365" t="s">
        <v>26</v>
      </c>
      <c r="B365" t="s">
        <v>64</v>
      </c>
      <c r="C365">
        <v>1347.96253</v>
      </c>
      <c r="D365">
        <v>2405.0112100000001</v>
      </c>
    </row>
    <row r="366" spans="1:4" x14ac:dyDescent="0.35">
      <c r="A366" t="s">
        <v>26</v>
      </c>
      <c r="B366" t="s">
        <v>45</v>
      </c>
      <c r="C366">
        <v>3072.6383000000001</v>
      </c>
      <c r="D366">
        <v>5133.4091200000003</v>
      </c>
    </row>
    <row r="367" spans="1:4" x14ac:dyDescent="0.35">
      <c r="A367" t="s">
        <v>26</v>
      </c>
      <c r="B367" t="s">
        <v>104</v>
      </c>
      <c r="C367">
        <v>563.58145000000002</v>
      </c>
      <c r="D367">
        <v>1161.2273399999999</v>
      </c>
    </row>
    <row r="368" spans="1:4" x14ac:dyDescent="0.35">
      <c r="A368" t="s">
        <v>26</v>
      </c>
      <c r="B368" t="s">
        <v>51</v>
      </c>
      <c r="C368">
        <v>2530.3627799999999</v>
      </c>
      <c r="D368">
        <v>4519.7231700000002</v>
      </c>
    </row>
    <row r="369" spans="1:4" x14ac:dyDescent="0.35">
      <c r="A369" t="s">
        <v>26</v>
      </c>
      <c r="B369" t="s">
        <v>108</v>
      </c>
      <c r="C369">
        <v>1857.7501600000001</v>
      </c>
      <c r="D369">
        <v>3264.1928400000002</v>
      </c>
    </row>
    <row r="370" spans="1:4" x14ac:dyDescent="0.35">
      <c r="A370" t="s">
        <v>26</v>
      </c>
      <c r="B370" t="s">
        <v>87</v>
      </c>
      <c r="C370">
        <v>578.27395999999999</v>
      </c>
      <c r="D370">
        <v>1229.17056</v>
      </c>
    </row>
    <row r="371" spans="1:4" x14ac:dyDescent="0.35">
      <c r="A371" t="s">
        <v>26</v>
      </c>
      <c r="B371" t="s">
        <v>103</v>
      </c>
      <c r="C371">
        <v>1427.2544700000001</v>
      </c>
      <c r="D371">
        <v>2213.2035599999999</v>
      </c>
    </row>
    <row r="372" spans="1:4" x14ac:dyDescent="0.35">
      <c r="A372" t="s">
        <v>26</v>
      </c>
      <c r="B372" t="s">
        <v>52</v>
      </c>
      <c r="C372">
        <v>536.46969999999999</v>
      </c>
      <c r="D372">
        <v>967.06736999999998</v>
      </c>
    </row>
    <row r="373" spans="1:4" x14ac:dyDescent="0.35">
      <c r="A373" t="s">
        <v>26</v>
      </c>
      <c r="B373" t="s">
        <v>139</v>
      </c>
      <c r="C373">
        <v>2218.0397699999999</v>
      </c>
      <c r="D373">
        <v>4076.37763</v>
      </c>
    </row>
    <row r="374" spans="1:4" x14ac:dyDescent="0.35">
      <c r="A374" t="s">
        <v>26</v>
      </c>
      <c r="B374" t="s">
        <v>240</v>
      </c>
      <c r="C374">
        <v>1585.9674399999999</v>
      </c>
      <c r="D374">
        <v>2885.0030000000002</v>
      </c>
    </row>
    <row r="375" spans="1:4" x14ac:dyDescent="0.35">
      <c r="A375" t="s">
        <v>26</v>
      </c>
      <c r="B375" t="s">
        <v>78</v>
      </c>
      <c r="C375">
        <v>596.40461000000005</v>
      </c>
      <c r="D375">
        <v>1343.01252</v>
      </c>
    </row>
    <row r="376" spans="1:4" x14ac:dyDescent="0.35">
      <c r="A376" t="s">
        <v>26</v>
      </c>
      <c r="B376" t="s">
        <v>118</v>
      </c>
      <c r="C376">
        <v>870.21668999999997</v>
      </c>
      <c r="D376">
        <v>1727.6022</v>
      </c>
    </row>
    <row r="377" spans="1:4" x14ac:dyDescent="0.35">
      <c r="A377" t="s">
        <v>26</v>
      </c>
      <c r="B377" t="s">
        <v>53</v>
      </c>
      <c r="C377">
        <v>641.50225999999998</v>
      </c>
      <c r="D377">
        <v>1338.62761</v>
      </c>
    </row>
    <row r="378" spans="1:4" x14ac:dyDescent="0.35">
      <c r="A378" t="s">
        <v>26</v>
      </c>
      <c r="B378" t="s">
        <v>79</v>
      </c>
      <c r="C378">
        <v>1606.5181</v>
      </c>
      <c r="D378">
        <v>2727.2507300000002</v>
      </c>
    </row>
    <row r="379" spans="1:4" x14ac:dyDescent="0.35">
      <c r="A379" t="s">
        <v>26</v>
      </c>
      <c r="B379" t="s">
        <v>71</v>
      </c>
      <c r="C379">
        <v>1354.93155</v>
      </c>
      <c r="D379">
        <v>2946.9206600000002</v>
      </c>
    </row>
    <row r="380" spans="1:4" x14ac:dyDescent="0.35">
      <c r="A380" t="s">
        <v>26</v>
      </c>
      <c r="B380" t="s">
        <v>48</v>
      </c>
      <c r="C380">
        <v>612.58570999999995</v>
      </c>
      <c r="D380">
        <v>1340.2517800000001</v>
      </c>
    </row>
    <row r="381" spans="1:4" x14ac:dyDescent="0.35">
      <c r="A381" t="s">
        <v>26</v>
      </c>
      <c r="B381" t="s">
        <v>85</v>
      </c>
      <c r="C381">
        <v>1298.4295099999999</v>
      </c>
      <c r="D381">
        <v>2450.07791</v>
      </c>
    </row>
    <row r="382" spans="1:4" x14ac:dyDescent="0.35">
      <c r="A382" t="s">
        <v>26</v>
      </c>
      <c r="B382" t="s">
        <v>93</v>
      </c>
      <c r="C382">
        <v>694.13136999999995</v>
      </c>
      <c r="D382">
        <v>1394.39644</v>
      </c>
    </row>
    <row r="383" spans="1:4" x14ac:dyDescent="0.35">
      <c r="A383" t="s">
        <v>26</v>
      </c>
      <c r="B383" t="s">
        <v>59</v>
      </c>
      <c r="C383">
        <v>747.72275000000002</v>
      </c>
      <c r="D383">
        <v>1595.75487</v>
      </c>
    </row>
    <row r="384" spans="1:4" x14ac:dyDescent="0.35">
      <c r="A384" t="s">
        <v>26</v>
      </c>
      <c r="B384" t="s">
        <v>100</v>
      </c>
      <c r="C384">
        <v>493.6891</v>
      </c>
      <c r="D384">
        <v>1067.2330400000001</v>
      </c>
    </row>
    <row r="385" spans="1:4" x14ac:dyDescent="0.35">
      <c r="A385" t="s">
        <v>26</v>
      </c>
      <c r="B385" t="s">
        <v>6</v>
      </c>
      <c r="C385">
        <v>1044.2188200000001</v>
      </c>
      <c r="D385">
        <v>2144.6708800000001</v>
      </c>
    </row>
    <row r="386" spans="1:4" x14ac:dyDescent="0.35">
      <c r="A386" t="s">
        <v>26</v>
      </c>
      <c r="B386" t="s">
        <v>70</v>
      </c>
      <c r="C386">
        <v>1186.9866999999999</v>
      </c>
      <c r="D386">
        <v>3116.0613800000001</v>
      </c>
    </row>
    <row r="387" spans="1:4" x14ac:dyDescent="0.35">
      <c r="A387" t="s">
        <v>26</v>
      </c>
      <c r="B387" t="s">
        <v>63</v>
      </c>
      <c r="C387">
        <v>907.29367000000002</v>
      </c>
      <c r="D387">
        <v>1471.3556000000001</v>
      </c>
    </row>
    <row r="388" spans="1:4" x14ac:dyDescent="0.35">
      <c r="A388" t="s">
        <v>26</v>
      </c>
      <c r="B388" t="s">
        <v>117</v>
      </c>
      <c r="C388">
        <v>1237.56467</v>
      </c>
      <c r="D388">
        <v>2292.5479599999999</v>
      </c>
    </row>
    <row r="389" spans="1:4" x14ac:dyDescent="0.35">
      <c r="A389" t="s">
        <v>26</v>
      </c>
      <c r="B389" t="s">
        <v>47</v>
      </c>
      <c r="C389">
        <v>1656.69859</v>
      </c>
      <c r="D389">
        <v>3468.74019</v>
      </c>
    </row>
    <row r="390" spans="1:4" x14ac:dyDescent="0.35">
      <c r="A390" t="s">
        <v>26</v>
      </c>
      <c r="B390" t="s">
        <v>54</v>
      </c>
      <c r="C390">
        <v>406.02980000000002</v>
      </c>
      <c r="D390">
        <v>873.14234999999996</v>
      </c>
    </row>
    <row r="391" spans="1:4" x14ac:dyDescent="0.35">
      <c r="A391" t="s">
        <v>26</v>
      </c>
      <c r="B391" t="s">
        <v>43</v>
      </c>
      <c r="C391">
        <v>1179.0015000000001</v>
      </c>
      <c r="D391">
        <v>2361.1276699999999</v>
      </c>
    </row>
    <row r="392" spans="1:4" x14ac:dyDescent="0.35">
      <c r="A392" t="s">
        <v>26</v>
      </c>
      <c r="B392" t="s">
        <v>95</v>
      </c>
      <c r="C392">
        <v>620.95000000000005</v>
      </c>
      <c r="D392">
        <v>1223.63031</v>
      </c>
    </row>
    <row r="393" spans="1:4" x14ac:dyDescent="0.35">
      <c r="A393" t="s">
        <v>26</v>
      </c>
      <c r="B393" t="s">
        <v>119</v>
      </c>
      <c r="C393">
        <v>1309.8789099999999</v>
      </c>
      <c r="D393">
        <v>2830.43896</v>
      </c>
    </row>
    <row r="394" spans="1:4" x14ac:dyDescent="0.35">
      <c r="A394" t="s">
        <v>26</v>
      </c>
      <c r="B394" t="s">
        <v>124</v>
      </c>
      <c r="C394">
        <v>1059.2340200000001</v>
      </c>
      <c r="D394">
        <v>1879.0617</v>
      </c>
    </row>
    <row r="395" spans="1:4" x14ac:dyDescent="0.35">
      <c r="A395" t="s">
        <v>26</v>
      </c>
      <c r="B395" t="s">
        <v>102</v>
      </c>
      <c r="C395">
        <v>749.78015000000005</v>
      </c>
      <c r="D395">
        <v>1347.7618199999999</v>
      </c>
    </row>
    <row r="396" spans="1:4" x14ac:dyDescent="0.35">
      <c r="A396" t="s">
        <v>26</v>
      </c>
      <c r="B396" t="s">
        <v>62</v>
      </c>
      <c r="C396">
        <v>1388.5259599999999</v>
      </c>
      <c r="D396">
        <v>2968.00612</v>
      </c>
    </row>
    <row r="397" spans="1:4" x14ac:dyDescent="0.35">
      <c r="A397" t="s">
        <v>26</v>
      </c>
      <c r="B397" t="s">
        <v>132</v>
      </c>
      <c r="C397">
        <v>789.85853999999995</v>
      </c>
      <c r="D397">
        <v>2004.23325</v>
      </c>
    </row>
    <row r="398" spans="1:4" x14ac:dyDescent="0.35">
      <c r="A398" t="s">
        <v>26</v>
      </c>
      <c r="B398" t="s">
        <v>140</v>
      </c>
      <c r="C398">
        <v>2244.1407300000001</v>
      </c>
      <c r="D398">
        <v>4273.7141499999998</v>
      </c>
    </row>
    <row r="399" spans="1:4" x14ac:dyDescent="0.35">
      <c r="A399" t="s">
        <v>26</v>
      </c>
      <c r="B399" t="s">
        <v>94</v>
      </c>
      <c r="C399">
        <v>993.57862</v>
      </c>
      <c r="D399">
        <v>1992.48026</v>
      </c>
    </row>
    <row r="400" spans="1:4" x14ac:dyDescent="0.35">
      <c r="A400" t="s">
        <v>26</v>
      </c>
      <c r="B400" t="s">
        <v>44</v>
      </c>
      <c r="C400">
        <v>262.63056</v>
      </c>
      <c r="D400">
        <v>634.78646000000003</v>
      </c>
    </row>
    <row r="401" spans="1:4" x14ac:dyDescent="0.35">
      <c r="A401" t="s">
        <v>26</v>
      </c>
      <c r="B401" t="s">
        <v>74</v>
      </c>
      <c r="C401">
        <v>1220.58</v>
      </c>
      <c r="D401">
        <v>2524.7794800000001</v>
      </c>
    </row>
    <row r="402" spans="1:4" x14ac:dyDescent="0.35">
      <c r="A402" t="s">
        <v>26</v>
      </c>
      <c r="B402" t="s">
        <v>72</v>
      </c>
      <c r="C402">
        <v>1910.3462500000001</v>
      </c>
      <c r="D402">
        <v>3697.9369099999999</v>
      </c>
    </row>
    <row r="403" spans="1:4" x14ac:dyDescent="0.35">
      <c r="A403" t="s">
        <v>26</v>
      </c>
      <c r="B403" t="s">
        <v>137</v>
      </c>
      <c r="C403">
        <v>827.05179999999996</v>
      </c>
      <c r="D403">
        <v>1874.7898499999999</v>
      </c>
    </row>
    <row r="404" spans="1:4" x14ac:dyDescent="0.35">
      <c r="A404" t="s">
        <v>26</v>
      </c>
      <c r="B404" t="s">
        <v>112</v>
      </c>
      <c r="C404">
        <v>2162.8852000000002</v>
      </c>
      <c r="D404">
        <v>3982.4971099999998</v>
      </c>
    </row>
    <row r="405" spans="1:4" x14ac:dyDescent="0.35">
      <c r="A405" t="s">
        <v>26</v>
      </c>
      <c r="B405" t="s">
        <v>75</v>
      </c>
      <c r="C405">
        <v>856.5394</v>
      </c>
      <c r="D405">
        <v>1767.94857</v>
      </c>
    </row>
    <row r="406" spans="1:4" x14ac:dyDescent="0.35">
      <c r="A406" t="s">
        <v>26</v>
      </c>
      <c r="B406" t="s">
        <v>113</v>
      </c>
      <c r="C406">
        <v>717.31542999999999</v>
      </c>
      <c r="D406">
        <v>1216.4369799999999</v>
      </c>
    </row>
    <row r="407" spans="1:4" x14ac:dyDescent="0.35">
      <c r="A407" t="s">
        <v>26</v>
      </c>
      <c r="B407" t="s">
        <v>46</v>
      </c>
      <c r="C407">
        <v>764.22973000000002</v>
      </c>
      <c r="D407">
        <v>1327.2723599999999</v>
      </c>
    </row>
    <row r="408" spans="1:4" x14ac:dyDescent="0.35">
      <c r="A408" t="s">
        <v>26</v>
      </c>
      <c r="B408" t="s">
        <v>114</v>
      </c>
      <c r="C408">
        <v>683.95547999999997</v>
      </c>
      <c r="D408">
        <v>1355.4192</v>
      </c>
    </row>
    <row r="409" spans="1:4" x14ac:dyDescent="0.35">
      <c r="A409" t="s">
        <v>26</v>
      </c>
      <c r="B409" t="s">
        <v>128</v>
      </c>
      <c r="C409">
        <v>849.57425000000001</v>
      </c>
      <c r="D409">
        <v>2045.6733099999999</v>
      </c>
    </row>
    <row r="410" spans="1:4" x14ac:dyDescent="0.35">
      <c r="A410" t="s">
        <v>26</v>
      </c>
      <c r="B410" t="s">
        <v>89</v>
      </c>
      <c r="C410">
        <v>437.5025</v>
      </c>
      <c r="D410">
        <v>1020.36501</v>
      </c>
    </row>
    <row r="411" spans="1:4" x14ac:dyDescent="0.35">
      <c r="A411" t="s">
        <v>26</v>
      </c>
      <c r="B411" t="s">
        <v>241</v>
      </c>
      <c r="C411">
        <v>710.02259000000004</v>
      </c>
      <c r="D411">
        <v>1811.3066100000001</v>
      </c>
    </row>
    <row r="412" spans="1:4" x14ac:dyDescent="0.35">
      <c r="A412" t="s">
        <v>26</v>
      </c>
      <c r="B412" t="s">
        <v>134</v>
      </c>
      <c r="C412">
        <v>904.56840999999997</v>
      </c>
      <c r="D412">
        <v>2031.76917</v>
      </c>
    </row>
    <row r="413" spans="1:4" x14ac:dyDescent="0.35">
      <c r="A413" t="s">
        <v>26</v>
      </c>
      <c r="B413" t="s">
        <v>107</v>
      </c>
      <c r="C413">
        <v>3064.1902700000001</v>
      </c>
      <c r="D413">
        <v>5910.2779099999998</v>
      </c>
    </row>
    <row r="414" spans="1:4" x14ac:dyDescent="0.35">
      <c r="A414" t="s">
        <v>26</v>
      </c>
      <c r="B414" t="s">
        <v>67</v>
      </c>
      <c r="C414">
        <v>494.53224</v>
      </c>
      <c r="D414">
        <v>1130.2741599999999</v>
      </c>
    </row>
    <row r="415" spans="1:4" x14ac:dyDescent="0.35">
      <c r="A415" t="s">
        <v>26</v>
      </c>
      <c r="B415" t="s">
        <v>111</v>
      </c>
      <c r="C415">
        <v>1646.2620199999999</v>
      </c>
      <c r="D415">
        <v>3420.97003</v>
      </c>
    </row>
    <row r="416" spans="1:4" x14ac:dyDescent="0.35">
      <c r="A416" t="s">
        <v>26</v>
      </c>
      <c r="B416" t="s">
        <v>122</v>
      </c>
      <c r="C416">
        <v>1189.73669</v>
      </c>
      <c r="D416">
        <v>2417.82834</v>
      </c>
    </row>
    <row r="417" spans="1:4" x14ac:dyDescent="0.35">
      <c r="A417" t="s">
        <v>26</v>
      </c>
      <c r="B417" t="s">
        <v>123</v>
      </c>
      <c r="C417">
        <v>2373.3090200000001</v>
      </c>
      <c r="D417">
        <v>4641.3015999999998</v>
      </c>
    </row>
    <row r="418" spans="1:4" x14ac:dyDescent="0.35">
      <c r="A418" t="s">
        <v>26</v>
      </c>
      <c r="B418" t="s">
        <v>80</v>
      </c>
      <c r="C418">
        <v>1578.4728600000001</v>
      </c>
      <c r="D418">
        <v>3252.37122</v>
      </c>
    </row>
    <row r="419" spans="1:4" x14ac:dyDescent="0.35">
      <c r="A419" t="s">
        <v>26</v>
      </c>
      <c r="B419" t="s">
        <v>138</v>
      </c>
      <c r="C419">
        <v>884.30904999999996</v>
      </c>
      <c r="D419">
        <v>1816.24693</v>
      </c>
    </row>
    <row r="420" spans="1:4" x14ac:dyDescent="0.35">
      <c r="A420" t="s">
        <v>26</v>
      </c>
      <c r="B420" t="s">
        <v>98</v>
      </c>
      <c r="C420">
        <v>595.70550000000003</v>
      </c>
      <c r="D420">
        <v>1237.8652999999999</v>
      </c>
    </row>
    <row r="421" spans="1:4" x14ac:dyDescent="0.35">
      <c r="A421" t="s">
        <v>26</v>
      </c>
      <c r="B421" t="s">
        <v>99</v>
      </c>
      <c r="C421">
        <v>799.98074999999994</v>
      </c>
      <c r="D421">
        <v>1514.4862599999999</v>
      </c>
    </row>
    <row r="422" spans="1:4" x14ac:dyDescent="0.35">
      <c r="A422" t="s">
        <v>26</v>
      </c>
      <c r="B422" t="s">
        <v>131</v>
      </c>
      <c r="C422">
        <v>2345.6067899999998</v>
      </c>
      <c r="D422">
        <v>4915.1038699999999</v>
      </c>
    </row>
    <row r="423" spans="1:4" x14ac:dyDescent="0.35">
      <c r="A423" t="s">
        <v>26</v>
      </c>
      <c r="B423" t="s">
        <v>84</v>
      </c>
      <c r="C423">
        <v>720.56363999999996</v>
      </c>
      <c r="D423">
        <v>1421.1864599999999</v>
      </c>
    </row>
    <row r="424" spans="1:4" x14ac:dyDescent="0.35">
      <c r="A424" t="s">
        <v>26</v>
      </c>
      <c r="B424" t="s">
        <v>96</v>
      </c>
      <c r="C424">
        <v>737.65867000000003</v>
      </c>
      <c r="D424">
        <v>1646.31953</v>
      </c>
    </row>
    <row r="425" spans="1:4" x14ac:dyDescent="0.35">
      <c r="A425" t="s">
        <v>26</v>
      </c>
      <c r="B425" t="s">
        <v>88</v>
      </c>
      <c r="C425">
        <v>1175.99089</v>
      </c>
      <c r="D425">
        <v>2615.79144</v>
      </c>
    </row>
    <row r="426" spans="1:4" x14ac:dyDescent="0.35">
      <c r="A426" t="s">
        <v>26</v>
      </c>
      <c r="B426" t="s">
        <v>0</v>
      </c>
      <c r="C426">
        <v>547.41749000000004</v>
      </c>
      <c r="D426">
        <v>1408.59016</v>
      </c>
    </row>
    <row r="427" spans="1:4" x14ac:dyDescent="0.35">
      <c r="A427" t="s">
        <v>26</v>
      </c>
      <c r="B427" t="s">
        <v>5</v>
      </c>
      <c r="C427">
        <v>414.79025000000001</v>
      </c>
      <c r="D427">
        <v>744.89463999999998</v>
      </c>
    </row>
    <row r="428" spans="1:4" x14ac:dyDescent="0.35">
      <c r="A428" t="s">
        <v>26</v>
      </c>
      <c r="B428" t="s">
        <v>4</v>
      </c>
      <c r="C428">
        <v>517.37405000000001</v>
      </c>
      <c r="D428">
        <v>1595.3531800000001</v>
      </c>
    </row>
    <row r="429" spans="1:4" x14ac:dyDescent="0.35">
      <c r="A429" t="s">
        <v>26</v>
      </c>
      <c r="B429" t="s">
        <v>86</v>
      </c>
      <c r="C429">
        <v>1378.3912600000001</v>
      </c>
      <c r="D429">
        <v>2886.8132799999998</v>
      </c>
    </row>
    <row r="430" spans="1:4" x14ac:dyDescent="0.35">
      <c r="A430" t="s">
        <v>26</v>
      </c>
      <c r="B430" t="s">
        <v>50</v>
      </c>
      <c r="C430">
        <v>2183.6411899999998</v>
      </c>
      <c r="D430">
        <v>4134.5470699999996</v>
      </c>
    </row>
    <row r="431" spans="1:4" x14ac:dyDescent="0.35">
      <c r="A431" t="s">
        <v>26</v>
      </c>
      <c r="B431" t="s">
        <v>56</v>
      </c>
      <c r="C431">
        <v>1339.54854</v>
      </c>
      <c r="D431">
        <v>2282.23459</v>
      </c>
    </row>
    <row r="432" spans="1:4" x14ac:dyDescent="0.35">
      <c r="A432" t="s">
        <v>26</v>
      </c>
      <c r="B432" t="s">
        <v>60</v>
      </c>
      <c r="C432">
        <v>538.70574999999997</v>
      </c>
      <c r="D432">
        <v>1016.58659</v>
      </c>
    </row>
    <row r="433" spans="1:4" x14ac:dyDescent="0.35">
      <c r="A433" t="s">
        <v>26</v>
      </c>
      <c r="B433" t="s">
        <v>61</v>
      </c>
      <c r="C433">
        <v>1310.23053</v>
      </c>
      <c r="D433">
        <v>3081.8543500000001</v>
      </c>
    </row>
    <row r="434" spans="1:4" x14ac:dyDescent="0.35">
      <c r="A434" t="s">
        <v>26</v>
      </c>
      <c r="B434" t="s">
        <v>3</v>
      </c>
      <c r="C434">
        <v>539.66989000000001</v>
      </c>
      <c r="D434">
        <v>1160.5961400000001</v>
      </c>
    </row>
    <row r="435" spans="1:4" x14ac:dyDescent="0.35">
      <c r="A435" t="s">
        <v>26</v>
      </c>
      <c r="B435" t="s">
        <v>126</v>
      </c>
      <c r="C435">
        <v>979.94262000000003</v>
      </c>
      <c r="D435">
        <v>1658.1904199999999</v>
      </c>
    </row>
    <row r="436" spans="1:4" x14ac:dyDescent="0.35">
      <c r="A436" t="s">
        <v>26</v>
      </c>
      <c r="B436" t="s">
        <v>242</v>
      </c>
      <c r="C436">
        <v>609.40170999999998</v>
      </c>
      <c r="D436">
        <v>1034.5019600000001</v>
      </c>
    </row>
    <row r="437" spans="1:4" x14ac:dyDescent="0.35">
      <c r="A437" t="s">
        <v>26</v>
      </c>
      <c r="B437" t="s">
        <v>125</v>
      </c>
      <c r="C437">
        <v>753.79900999999995</v>
      </c>
      <c r="D437">
        <v>1473.3275799999999</v>
      </c>
    </row>
    <row r="438" spans="1:4" x14ac:dyDescent="0.35">
      <c r="A438" t="s">
        <v>26</v>
      </c>
      <c r="B438" t="s">
        <v>68</v>
      </c>
      <c r="C438">
        <v>438.77515</v>
      </c>
      <c r="D438">
        <v>963.03529000000003</v>
      </c>
    </row>
    <row r="439" spans="1:4" x14ac:dyDescent="0.35">
      <c r="A439" t="s">
        <v>26</v>
      </c>
      <c r="B439" t="s">
        <v>90</v>
      </c>
      <c r="C439">
        <v>1270.46894</v>
      </c>
      <c r="D439">
        <v>2272.5680200000002</v>
      </c>
    </row>
    <row r="440" spans="1:4" x14ac:dyDescent="0.35">
      <c r="A440" t="s">
        <v>26</v>
      </c>
      <c r="B440" t="s">
        <v>243</v>
      </c>
      <c r="C440">
        <v>479.77202</v>
      </c>
      <c r="D440">
        <v>965.16652999999997</v>
      </c>
    </row>
    <row r="441" spans="1:4" x14ac:dyDescent="0.35">
      <c r="A441" t="s">
        <v>26</v>
      </c>
      <c r="B441" t="s">
        <v>69</v>
      </c>
      <c r="C441">
        <v>1769.4634900000001</v>
      </c>
      <c r="D441">
        <v>3677.3042</v>
      </c>
    </row>
    <row r="442" spans="1:4" x14ac:dyDescent="0.35">
      <c r="A442" t="s">
        <v>26</v>
      </c>
      <c r="B442" t="s">
        <v>244</v>
      </c>
      <c r="C442">
        <v>1062.6311000000001</v>
      </c>
      <c r="D442">
        <v>2040.7906</v>
      </c>
    </row>
    <row r="443" spans="1:4" x14ac:dyDescent="0.35">
      <c r="A443" t="s">
        <v>26</v>
      </c>
      <c r="B443" t="s">
        <v>245</v>
      </c>
      <c r="C443">
        <v>698.35992999999996</v>
      </c>
      <c r="D443">
        <v>2345.8157000000001</v>
      </c>
    </row>
    <row r="444" spans="1:4" x14ac:dyDescent="0.35">
      <c r="A444" t="s">
        <v>26</v>
      </c>
      <c r="B444" t="s">
        <v>246</v>
      </c>
      <c r="C444">
        <v>979.87774999999999</v>
      </c>
      <c r="D444">
        <v>2609.9238099999998</v>
      </c>
    </row>
    <row r="445" spans="1:4" x14ac:dyDescent="0.35">
      <c r="A445" t="s">
        <v>26</v>
      </c>
      <c r="B445" t="s">
        <v>135</v>
      </c>
      <c r="C445">
        <v>1083.7440899999999</v>
      </c>
      <c r="D445">
        <v>2321.4850900000001</v>
      </c>
    </row>
    <row r="446" spans="1:4" x14ac:dyDescent="0.35">
      <c r="A446" t="s">
        <v>26</v>
      </c>
      <c r="B446" t="s">
        <v>116</v>
      </c>
      <c r="C446">
        <v>700.20734000000004</v>
      </c>
      <c r="D446">
        <v>1884.37779</v>
      </c>
    </row>
    <row r="447" spans="1:4" x14ac:dyDescent="0.35">
      <c r="A447" t="s">
        <v>26</v>
      </c>
      <c r="B447" t="s">
        <v>247</v>
      </c>
      <c r="C447">
        <v>628.74123999999995</v>
      </c>
      <c r="D447">
        <v>1762.72208</v>
      </c>
    </row>
    <row r="448" spans="1:4" x14ac:dyDescent="0.35">
      <c r="A448" t="s">
        <v>26</v>
      </c>
      <c r="B448" t="s">
        <v>41</v>
      </c>
      <c r="C448">
        <v>3608.5809599999998</v>
      </c>
      <c r="D448">
        <v>8371.9533900000006</v>
      </c>
    </row>
    <row r="449" spans="1:4" x14ac:dyDescent="0.35">
      <c r="A449" t="s">
        <v>26</v>
      </c>
      <c r="B449" t="s">
        <v>91</v>
      </c>
      <c r="C449">
        <v>2091.3972199999998</v>
      </c>
      <c r="D449">
        <v>5172.4995099999996</v>
      </c>
    </row>
    <row r="450" spans="1:4" x14ac:dyDescent="0.35">
      <c r="A450" t="s">
        <v>26</v>
      </c>
      <c r="B450" t="s">
        <v>127</v>
      </c>
      <c r="C450">
        <v>619.23850000000004</v>
      </c>
      <c r="D450">
        <v>1619.4494</v>
      </c>
    </row>
    <row r="451" spans="1:4" x14ac:dyDescent="0.35">
      <c r="A451" t="s">
        <v>26</v>
      </c>
      <c r="B451" t="s">
        <v>92</v>
      </c>
      <c r="C451">
        <v>467.09005000000002</v>
      </c>
      <c r="D451">
        <v>1143.1858500000001</v>
      </c>
    </row>
    <row r="452" spans="1:4" x14ac:dyDescent="0.35">
      <c r="A452" t="s">
        <v>26</v>
      </c>
      <c r="B452" t="s">
        <v>248</v>
      </c>
      <c r="C452">
        <v>629.96947999999998</v>
      </c>
      <c r="D452">
        <v>1741.9603199999999</v>
      </c>
    </row>
    <row r="453" spans="1:4" x14ac:dyDescent="0.35">
      <c r="A453" t="s">
        <v>26</v>
      </c>
      <c r="B453" t="s">
        <v>82</v>
      </c>
      <c r="C453">
        <v>549.20627000000002</v>
      </c>
      <c r="D453">
        <v>1186.9934000000001</v>
      </c>
    </row>
    <row r="454" spans="1:4" x14ac:dyDescent="0.35">
      <c r="A454" t="s">
        <v>26</v>
      </c>
      <c r="B454" t="s">
        <v>249</v>
      </c>
      <c r="C454">
        <v>297.35969999999998</v>
      </c>
      <c r="D454">
        <v>664.99953000000005</v>
      </c>
    </row>
    <row r="455" spans="1:4" x14ac:dyDescent="0.35">
      <c r="A455" t="s">
        <v>26</v>
      </c>
      <c r="B455" t="s">
        <v>2</v>
      </c>
      <c r="C455">
        <v>1764.2456400000001</v>
      </c>
      <c r="D455">
        <v>3751.5930600000002</v>
      </c>
    </row>
    <row r="456" spans="1:4" x14ac:dyDescent="0.35">
      <c r="A456" t="s">
        <v>26</v>
      </c>
      <c r="B456" t="s">
        <v>55</v>
      </c>
      <c r="C456">
        <v>1302.4674600000001</v>
      </c>
      <c r="D456">
        <v>2686.3466199999998</v>
      </c>
    </row>
    <row r="457" spans="1:4" x14ac:dyDescent="0.35">
      <c r="A457" t="s">
        <v>26</v>
      </c>
      <c r="B457" t="s">
        <v>250</v>
      </c>
      <c r="C457">
        <v>476.97012000000001</v>
      </c>
      <c r="D457">
        <v>1383.96398</v>
      </c>
    </row>
    <row r="458" spans="1:4" x14ac:dyDescent="0.35">
      <c r="A458" t="s">
        <v>26</v>
      </c>
      <c r="B458" t="s">
        <v>129</v>
      </c>
      <c r="C458">
        <v>489.2577</v>
      </c>
      <c r="D458">
        <v>1049.82466</v>
      </c>
    </row>
    <row r="459" spans="1:4" x14ac:dyDescent="0.35">
      <c r="A459" t="s">
        <v>26</v>
      </c>
      <c r="B459" t="s">
        <v>251</v>
      </c>
      <c r="C459">
        <v>702.37752999999998</v>
      </c>
      <c r="D459">
        <v>1491.6538700000001</v>
      </c>
    </row>
    <row r="460" spans="1:4" x14ac:dyDescent="0.35">
      <c r="A460" t="s">
        <v>26</v>
      </c>
      <c r="B460" t="s">
        <v>65</v>
      </c>
      <c r="C460">
        <v>458.60494999999997</v>
      </c>
      <c r="D460">
        <v>1053.54017</v>
      </c>
    </row>
    <row r="461" spans="1:4" x14ac:dyDescent="0.35">
      <c r="A461" t="s">
        <v>26</v>
      </c>
      <c r="B461" t="s">
        <v>101</v>
      </c>
      <c r="C461">
        <v>744.79304999999999</v>
      </c>
      <c r="D461">
        <v>1613.41842</v>
      </c>
    </row>
    <row r="462" spans="1:4" x14ac:dyDescent="0.35">
      <c r="A462" t="s">
        <v>26</v>
      </c>
      <c r="B462" t="s">
        <v>66</v>
      </c>
      <c r="C462">
        <v>454.85185999999999</v>
      </c>
      <c r="D462">
        <v>1152.61995</v>
      </c>
    </row>
    <row r="463" spans="1:4" x14ac:dyDescent="0.35">
      <c r="A463" t="s">
        <v>26</v>
      </c>
      <c r="B463" t="s">
        <v>73</v>
      </c>
      <c r="C463">
        <v>1793.0147400000001</v>
      </c>
      <c r="D463">
        <v>4026.9461700000002</v>
      </c>
    </row>
    <row r="464" spans="1:4" x14ac:dyDescent="0.35">
      <c r="A464" t="s">
        <v>26</v>
      </c>
      <c r="B464" t="s">
        <v>136</v>
      </c>
      <c r="C464">
        <v>940.61802</v>
      </c>
      <c r="D464">
        <v>2339.2133899999999</v>
      </c>
    </row>
    <row r="465" spans="1:4" x14ac:dyDescent="0.35">
      <c r="A465" t="s">
        <v>26</v>
      </c>
      <c r="B465" t="s">
        <v>105</v>
      </c>
      <c r="C465">
        <v>497.30650000000003</v>
      </c>
      <c r="D465">
        <v>1235.9159999999999</v>
      </c>
    </row>
    <row r="466" spans="1:4" x14ac:dyDescent="0.35">
      <c r="A466" t="s">
        <v>26</v>
      </c>
      <c r="B466" t="s">
        <v>109</v>
      </c>
      <c r="C466">
        <v>2015.3694499999999</v>
      </c>
      <c r="D466">
        <v>4520.8113199999998</v>
      </c>
    </row>
    <row r="467" spans="1:4" x14ac:dyDescent="0.35">
      <c r="A467" t="s">
        <v>26</v>
      </c>
      <c r="B467" t="s">
        <v>97</v>
      </c>
      <c r="C467">
        <v>629.38099</v>
      </c>
      <c r="D467">
        <v>1709.39</v>
      </c>
    </row>
    <row r="468" spans="1:4" x14ac:dyDescent="0.35">
      <c r="A468" t="s">
        <v>26</v>
      </c>
      <c r="B468" t="s">
        <v>120</v>
      </c>
      <c r="C468">
        <v>538.69185000000004</v>
      </c>
      <c r="D468">
        <v>1415.3498199999999</v>
      </c>
    </row>
    <row r="469" spans="1:4" x14ac:dyDescent="0.35">
      <c r="A469" t="s">
        <v>26</v>
      </c>
      <c r="B469" t="s">
        <v>110</v>
      </c>
      <c r="C469">
        <v>798.99372000000005</v>
      </c>
      <c r="D469">
        <v>2227.6158799999998</v>
      </c>
    </row>
    <row r="470" spans="1:4" x14ac:dyDescent="0.35">
      <c r="A470" t="s">
        <v>26</v>
      </c>
      <c r="B470" t="s">
        <v>115</v>
      </c>
      <c r="C470">
        <v>1171.01989</v>
      </c>
      <c r="D470">
        <v>2822.6267800000001</v>
      </c>
    </row>
    <row r="471" spans="1:4" x14ac:dyDescent="0.35">
      <c r="A471" t="s">
        <v>26</v>
      </c>
      <c r="B471" t="s">
        <v>42</v>
      </c>
      <c r="C471">
        <v>1011.5841799999999</v>
      </c>
      <c r="D471">
        <v>2918.7448199999999</v>
      </c>
    </row>
    <row r="472" spans="1:4" x14ac:dyDescent="0.35">
      <c r="A472" t="s">
        <v>26</v>
      </c>
      <c r="B472" t="s">
        <v>58</v>
      </c>
      <c r="C472">
        <v>428.95044000000001</v>
      </c>
      <c r="D472">
        <v>1753.08007</v>
      </c>
    </row>
    <row r="473" spans="1:4" x14ac:dyDescent="0.35">
      <c r="A473" t="s">
        <v>26</v>
      </c>
      <c r="B473" t="s">
        <v>121</v>
      </c>
      <c r="C473">
        <v>1319.49125</v>
      </c>
      <c r="D473">
        <v>2396.5402199999999</v>
      </c>
    </row>
    <row r="474" spans="1:4" x14ac:dyDescent="0.35">
      <c r="A474" t="s">
        <v>26</v>
      </c>
      <c r="B474" t="s">
        <v>81</v>
      </c>
      <c r="C474">
        <v>690.26874999999995</v>
      </c>
      <c r="D474">
        <v>1655.58131</v>
      </c>
    </row>
    <row r="475" spans="1:4" x14ac:dyDescent="0.35">
      <c r="A475" t="s">
        <v>26</v>
      </c>
      <c r="B475" t="s">
        <v>57</v>
      </c>
      <c r="C475">
        <v>983.01684</v>
      </c>
      <c r="D475">
        <v>2147.07141</v>
      </c>
    </row>
    <row r="476" spans="1:4" x14ac:dyDescent="0.35">
      <c r="A476" t="s">
        <v>26</v>
      </c>
      <c r="B476" t="s">
        <v>1</v>
      </c>
      <c r="C476">
        <v>370.95778999999999</v>
      </c>
      <c r="D476">
        <v>783.21328000000005</v>
      </c>
    </row>
    <row r="477" spans="1:4" x14ac:dyDescent="0.35">
      <c r="A477" t="s">
        <v>26</v>
      </c>
      <c r="B477" t="s">
        <v>49</v>
      </c>
      <c r="C477">
        <v>822.28162999999995</v>
      </c>
      <c r="D477">
        <v>1609.9149399999999</v>
      </c>
    </row>
    <row r="478" spans="1:4" x14ac:dyDescent="0.35">
      <c r="A478" t="s">
        <v>26</v>
      </c>
      <c r="B478" t="s">
        <v>130</v>
      </c>
      <c r="C478">
        <v>744.94200000000001</v>
      </c>
      <c r="D478">
        <v>1659.4764700000001</v>
      </c>
    </row>
    <row r="479" spans="1:4" x14ac:dyDescent="0.35">
      <c r="A479" t="s">
        <v>26</v>
      </c>
      <c r="B479" t="s">
        <v>106</v>
      </c>
      <c r="C479">
        <v>2516.9825099999998</v>
      </c>
      <c r="D479">
        <v>4292.7943699999996</v>
      </c>
    </row>
    <row r="480" spans="1:4" x14ac:dyDescent="0.35">
      <c r="A480" t="s">
        <v>26</v>
      </c>
      <c r="B480" t="s">
        <v>133</v>
      </c>
      <c r="C480">
        <v>1015.87896</v>
      </c>
      <c r="D480">
        <v>1974.8931299999999</v>
      </c>
    </row>
    <row r="481" spans="1:4" x14ac:dyDescent="0.35">
      <c r="A481" t="s">
        <v>27</v>
      </c>
      <c r="B481" t="s">
        <v>76</v>
      </c>
      <c r="C481">
        <v>3072.4632000000001</v>
      </c>
      <c r="D481">
        <v>6343.2354999999998</v>
      </c>
    </row>
    <row r="482" spans="1:4" x14ac:dyDescent="0.35">
      <c r="A482" t="s">
        <v>27</v>
      </c>
      <c r="B482" t="s">
        <v>83</v>
      </c>
      <c r="C482">
        <v>2473.7008500000002</v>
      </c>
      <c r="D482">
        <v>4354.8723600000003</v>
      </c>
    </row>
    <row r="483" spans="1:4" x14ac:dyDescent="0.35">
      <c r="A483" t="s">
        <v>27</v>
      </c>
      <c r="B483" t="s">
        <v>77</v>
      </c>
      <c r="C483">
        <v>1065.6566800000001</v>
      </c>
      <c r="D483">
        <v>2283.8830499999999</v>
      </c>
    </row>
    <row r="484" spans="1:4" x14ac:dyDescent="0.35">
      <c r="A484" t="s">
        <v>27</v>
      </c>
      <c r="B484" t="s">
        <v>64</v>
      </c>
      <c r="C484">
        <v>1340.25668</v>
      </c>
      <c r="D484">
        <v>2404.1712299999999</v>
      </c>
    </row>
    <row r="485" spans="1:4" x14ac:dyDescent="0.35">
      <c r="A485" t="s">
        <v>27</v>
      </c>
      <c r="B485" t="s">
        <v>45</v>
      </c>
      <c r="C485">
        <v>3069.4532800000002</v>
      </c>
      <c r="D485">
        <v>5138.6844600000004</v>
      </c>
    </row>
    <row r="486" spans="1:4" x14ac:dyDescent="0.35">
      <c r="A486" t="s">
        <v>27</v>
      </c>
      <c r="B486" t="s">
        <v>104</v>
      </c>
      <c r="C486">
        <v>558.73770000000002</v>
      </c>
      <c r="D486">
        <v>1164.1379999999999</v>
      </c>
    </row>
    <row r="487" spans="1:4" x14ac:dyDescent="0.35">
      <c r="A487" t="s">
        <v>27</v>
      </c>
      <c r="B487" t="s">
        <v>51</v>
      </c>
      <c r="C487">
        <v>2536.9239299999999</v>
      </c>
      <c r="D487">
        <v>4551.95705</v>
      </c>
    </row>
    <row r="488" spans="1:4" x14ac:dyDescent="0.35">
      <c r="A488" t="s">
        <v>27</v>
      </c>
      <c r="B488" t="s">
        <v>108</v>
      </c>
      <c r="C488">
        <v>1851.28016</v>
      </c>
      <c r="D488">
        <v>3251.3134799999998</v>
      </c>
    </row>
    <row r="489" spans="1:4" x14ac:dyDescent="0.35">
      <c r="A489" t="s">
        <v>27</v>
      </c>
      <c r="B489" t="s">
        <v>87</v>
      </c>
      <c r="C489">
        <v>582.97020999999995</v>
      </c>
      <c r="D489">
        <v>1222.84077</v>
      </c>
    </row>
    <row r="490" spans="1:4" x14ac:dyDescent="0.35">
      <c r="A490" t="s">
        <v>27</v>
      </c>
      <c r="B490" t="s">
        <v>103</v>
      </c>
      <c r="C490">
        <v>1414.9902199999999</v>
      </c>
      <c r="D490">
        <v>2222.4488999999999</v>
      </c>
    </row>
    <row r="491" spans="1:4" x14ac:dyDescent="0.35">
      <c r="A491" t="s">
        <v>27</v>
      </c>
      <c r="B491" t="s">
        <v>52</v>
      </c>
      <c r="C491">
        <v>531.93470000000002</v>
      </c>
      <c r="D491">
        <v>957.67070000000001</v>
      </c>
    </row>
    <row r="492" spans="1:4" x14ac:dyDescent="0.35">
      <c r="A492" t="s">
        <v>27</v>
      </c>
      <c r="B492" t="s">
        <v>139</v>
      </c>
      <c r="C492">
        <v>2199.9352699999999</v>
      </c>
      <c r="D492">
        <v>4060.2129599999998</v>
      </c>
    </row>
    <row r="493" spans="1:4" x14ac:dyDescent="0.35">
      <c r="A493" t="s">
        <v>27</v>
      </c>
      <c r="B493" t="s">
        <v>240</v>
      </c>
      <c r="C493">
        <v>1576.98119</v>
      </c>
      <c r="D493">
        <v>2877.4463000000001</v>
      </c>
    </row>
    <row r="494" spans="1:4" x14ac:dyDescent="0.35">
      <c r="A494" t="s">
        <v>27</v>
      </c>
      <c r="B494" t="s">
        <v>78</v>
      </c>
      <c r="C494">
        <v>595.14377999999999</v>
      </c>
      <c r="D494">
        <v>1342.52586</v>
      </c>
    </row>
    <row r="495" spans="1:4" x14ac:dyDescent="0.35">
      <c r="A495" t="s">
        <v>27</v>
      </c>
      <c r="B495" t="s">
        <v>118</v>
      </c>
      <c r="C495">
        <v>874.89169000000004</v>
      </c>
      <c r="D495">
        <v>1748.5355500000001</v>
      </c>
    </row>
    <row r="496" spans="1:4" x14ac:dyDescent="0.35">
      <c r="A496" t="s">
        <v>27</v>
      </c>
      <c r="B496" t="s">
        <v>53</v>
      </c>
      <c r="C496">
        <v>641.70226000000002</v>
      </c>
      <c r="D496">
        <v>1333.7809400000001</v>
      </c>
    </row>
    <row r="497" spans="1:4" x14ac:dyDescent="0.35">
      <c r="A497" t="s">
        <v>27</v>
      </c>
      <c r="B497" t="s">
        <v>79</v>
      </c>
      <c r="C497">
        <v>1615.9031</v>
      </c>
      <c r="D497">
        <v>2730.5140700000002</v>
      </c>
    </row>
    <row r="498" spans="1:4" x14ac:dyDescent="0.35">
      <c r="A498" t="s">
        <v>27</v>
      </c>
      <c r="B498" t="s">
        <v>71</v>
      </c>
      <c r="C498">
        <v>1355.9013</v>
      </c>
      <c r="D498">
        <v>2895.6806499999998</v>
      </c>
    </row>
    <row r="499" spans="1:4" x14ac:dyDescent="0.35">
      <c r="A499" t="s">
        <v>27</v>
      </c>
      <c r="B499" t="s">
        <v>48</v>
      </c>
      <c r="C499">
        <v>612.37171000000001</v>
      </c>
      <c r="D499">
        <v>1339.74857</v>
      </c>
    </row>
    <row r="500" spans="1:4" x14ac:dyDescent="0.35">
      <c r="A500" t="s">
        <v>27</v>
      </c>
      <c r="B500" t="s">
        <v>85</v>
      </c>
      <c r="C500">
        <v>1294.5263600000001</v>
      </c>
      <c r="D500">
        <v>2432.8477699999999</v>
      </c>
    </row>
    <row r="501" spans="1:4" x14ac:dyDescent="0.35">
      <c r="A501" t="s">
        <v>27</v>
      </c>
      <c r="B501" t="s">
        <v>93</v>
      </c>
      <c r="C501">
        <v>695.32842000000005</v>
      </c>
      <c r="D501">
        <v>1395.73911</v>
      </c>
    </row>
    <row r="502" spans="1:4" x14ac:dyDescent="0.35">
      <c r="A502" t="s">
        <v>27</v>
      </c>
      <c r="B502" t="s">
        <v>59</v>
      </c>
      <c r="C502">
        <v>752.31025</v>
      </c>
      <c r="D502">
        <v>1595.77727</v>
      </c>
    </row>
    <row r="503" spans="1:4" x14ac:dyDescent="0.35">
      <c r="A503" t="s">
        <v>27</v>
      </c>
      <c r="B503" t="s">
        <v>100</v>
      </c>
      <c r="C503">
        <v>491.08285000000001</v>
      </c>
      <c r="D503">
        <v>1064.1930500000001</v>
      </c>
    </row>
    <row r="504" spans="1:4" x14ac:dyDescent="0.35">
      <c r="A504" t="s">
        <v>27</v>
      </c>
      <c r="B504" t="s">
        <v>6</v>
      </c>
      <c r="C504">
        <v>1042.4088200000001</v>
      </c>
      <c r="D504">
        <v>2141.52421</v>
      </c>
    </row>
    <row r="505" spans="1:4" x14ac:dyDescent="0.35">
      <c r="A505" t="s">
        <v>27</v>
      </c>
      <c r="B505" t="s">
        <v>70</v>
      </c>
      <c r="C505">
        <v>1190.1669199999999</v>
      </c>
      <c r="D505">
        <v>3112.83887</v>
      </c>
    </row>
    <row r="506" spans="1:4" x14ac:dyDescent="0.35">
      <c r="A506" t="s">
        <v>27</v>
      </c>
      <c r="B506" t="s">
        <v>63</v>
      </c>
      <c r="C506">
        <v>901.78192000000001</v>
      </c>
      <c r="D506">
        <v>1467.60428</v>
      </c>
    </row>
    <row r="507" spans="1:4" x14ac:dyDescent="0.35">
      <c r="A507" t="s">
        <v>27</v>
      </c>
      <c r="B507" t="s">
        <v>117</v>
      </c>
      <c r="C507">
        <v>1238.3214700000001</v>
      </c>
      <c r="D507">
        <v>2276.9767499999998</v>
      </c>
    </row>
    <row r="508" spans="1:4" x14ac:dyDescent="0.35">
      <c r="A508" t="s">
        <v>27</v>
      </c>
      <c r="B508" t="s">
        <v>47</v>
      </c>
      <c r="C508">
        <v>1660.2024899999999</v>
      </c>
      <c r="D508">
        <v>3471.4811300000001</v>
      </c>
    </row>
    <row r="509" spans="1:4" x14ac:dyDescent="0.35">
      <c r="A509" t="s">
        <v>27</v>
      </c>
      <c r="B509" t="s">
        <v>54</v>
      </c>
      <c r="C509">
        <v>408.47309999999999</v>
      </c>
      <c r="D509">
        <v>876.00899000000004</v>
      </c>
    </row>
    <row r="510" spans="1:4" x14ac:dyDescent="0.35">
      <c r="A510" t="s">
        <v>27</v>
      </c>
      <c r="B510" t="s">
        <v>43</v>
      </c>
      <c r="C510">
        <v>1176.3326999999999</v>
      </c>
      <c r="D510">
        <v>2368.5676600000002</v>
      </c>
    </row>
    <row r="511" spans="1:4" x14ac:dyDescent="0.35">
      <c r="A511" t="s">
        <v>27</v>
      </c>
      <c r="B511" t="s">
        <v>95</v>
      </c>
      <c r="C511">
        <v>618.68124999999998</v>
      </c>
      <c r="D511">
        <v>1212.28033</v>
      </c>
    </row>
    <row r="512" spans="1:4" x14ac:dyDescent="0.35">
      <c r="A512" t="s">
        <v>27</v>
      </c>
      <c r="B512" t="s">
        <v>119</v>
      </c>
      <c r="C512">
        <v>1330.86166</v>
      </c>
      <c r="D512">
        <v>2837.31232</v>
      </c>
    </row>
    <row r="513" spans="1:4" x14ac:dyDescent="0.35">
      <c r="A513" t="s">
        <v>27</v>
      </c>
      <c r="B513" t="s">
        <v>124</v>
      </c>
      <c r="C513">
        <v>1062.4537700000001</v>
      </c>
      <c r="D513">
        <v>1878.8270199999999</v>
      </c>
    </row>
    <row r="514" spans="1:4" x14ac:dyDescent="0.35">
      <c r="A514" t="s">
        <v>27</v>
      </c>
      <c r="B514" t="s">
        <v>102</v>
      </c>
      <c r="C514">
        <v>753.52250000000004</v>
      </c>
      <c r="D514">
        <v>1356.4773600000001</v>
      </c>
    </row>
    <row r="515" spans="1:4" x14ac:dyDescent="0.35">
      <c r="A515" t="s">
        <v>27</v>
      </c>
      <c r="B515" t="s">
        <v>62</v>
      </c>
      <c r="C515">
        <v>1392.1172999999999</v>
      </c>
      <c r="D515">
        <v>2973.71144</v>
      </c>
    </row>
    <row r="516" spans="1:4" x14ac:dyDescent="0.35">
      <c r="A516" t="s">
        <v>27</v>
      </c>
      <c r="B516" t="s">
        <v>132</v>
      </c>
      <c r="C516">
        <v>779.22713999999996</v>
      </c>
      <c r="D516">
        <v>1994.3532399999999</v>
      </c>
    </row>
    <row r="517" spans="1:4" x14ac:dyDescent="0.35">
      <c r="A517" t="s">
        <v>27</v>
      </c>
      <c r="B517" t="s">
        <v>140</v>
      </c>
      <c r="C517">
        <v>2248.9847300000001</v>
      </c>
      <c r="D517">
        <v>4296.6001500000002</v>
      </c>
    </row>
    <row r="518" spans="1:4" x14ac:dyDescent="0.35">
      <c r="A518" t="s">
        <v>27</v>
      </c>
      <c r="B518" t="s">
        <v>94</v>
      </c>
      <c r="C518">
        <v>998.22286999999994</v>
      </c>
      <c r="D518">
        <v>1986.1802700000001</v>
      </c>
    </row>
    <row r="519" spans="1:4" x14ac:dyDescent="0.35">
      <c r="A519" t="s">
        <v>27</v>
      </c>
      <c r="B519" t="s">
        <v>44</v>
      </c>
      <c r="C519">
        <v>260.99856</v>
      </c>
      <c r="D519">
        <v>595.82514000000003</v>
      </c>
    </row>
    <row r="520" spans="1:4" x14ac:dyDescent="0.35">
      <c r="A520" t="s">
        <v>27</v>
      </c>
      <c r="B520" t="s">
        <v>74</v>
      </c>
      <c r="C520">
        <v>1219.3831600000001</v>
      </c>
      <c r="D520">
        <v>2564.6061599999998</v>
      </c>
    </row>
    <row r="521" spans="1:4" x14ac:dyDescent="0.35">
      <c r="A521" t="s">
        <v>27</v>
      </c>
      <c r="B521" t="s">
        <v>72</v>
      </c>
      <c r="C521">
        <v>1909.49</v>
      </c>
      <c r="D521">
        <v>3700.2878000000001</v>
      </c>
    </row>
    <row r="522" spans="1:4" x14ac:dyDescent="0.35">
      <c r="A522" t="s">
        <v>27</v>
      </c>
      <c r="B522" t="s">
        <v>137</v>
      </c>
      <c r="C522">
        <v>825.68100000000004</v>
      </c>
      <c r="D522">
        <v>1866.73972</v>
      </c>
    </row>
    <row r="523" spans="1:4" x14ac:dyDescent="0.35">
      <c r="A523" t="s">
        <v>27</v>
      </c>
      <c r="B523" t="s">
        <v>112</v>
      </c>
      <c r="C523">
        <v>2152.6736099999998</v>
      </c>
      <c r="D523">
        <v>3967.07195</v>
      </c>
    </row>
    <row r="524" spans="1:4" x14ac:dyDescent="0.35">
      <c r="A524" t="s">
        <v>27</v>
      </c>
      <c r="B524" t="s">
        <v>75</v>
      </c>
      <c r="C524">
        <v>856.49059999999997</v>
      </c>
      <c r="D524">
        <v>1770.40191</v>
      </c>
    </row>
    <row r="525" spans="1:4" x14ac:dyDescent="0.35">
      <c r="A525" t="s">
        <v>27</v>
      </c>
      <c r="B525" t="s">
        <v>113</v>
      </c>
      <c r="C525">
        <v>718.31043</v>
      </c>
      <c r="D525">
        <v>1215.13697</v>
      </c>
    </row>
    <row r="526" spans="1:4" x14ac:dyDescent="0.35">
      <c r="A526" t="s">
        <v>27</v>
      </c>
      <c r="B526" t="s">
        <v>46</v>
      </c>
      <c r="C526">
        <v>762.73598000000004</v>
      </c>
      <c r="D526">
        <v>1324.8723399999999</v>
      </c>
    </row>
    <row r="527" spans="1:4" x14ac:dyDescent="0.35">
      <c r="A527" t="s">
        <v>27</v>
      </c>
      <c r="B527" t="s">
        <v>114</v>
      </c>
      <c r="C527">
        <v>692.79297999999994</v>
      </c>
      <c r="D527">
        <v>1364.4138600000001</v>
      </c>
    </row>
    <row r="528" spans="1:4" x14ac:dyDescent="0.35">
      <c r="A528" t="s">
        <v>27</v>
      </c>
      <c r="B528" t="s">
        <v>128</v>
      </c>
      <c r="C528">
        <v>857.20925</v>
      </c>
      <c r="D528">
        <v>2048.1266500000002</v>
      </c>
    </row>
    <row r="529" spans="1:4" x14ac:dyDescent="0.35">
      <c r="A529" t="s">
        <v>27</v>
      </c>
      <c r="B529" t="s">
        <v>89</v>
      </c>
      <c r="C529">
        <v>440.30250000000001</v>
      </c>
      <c r="D529">
        <v>1021.85915</v>
      </c>
    </row>
    <row r="530" spans="1:4" x14ac:dyDescent="0.35">
      <c r="A530" t="s">
        <v>27</v>
      </c>
      <c r="B530" t="s">
        <v>241</v>
      </c>
      <c r="C530">
        <v>699.44633999999996</v>
      </c>
      <c r="D530">
        <v>1800.65996</v>
      </c>
    </row>
    <row r="531" spans="1:4" x14ac:dyDescent="0.35">
      <c r="A531" t="s">
        <v>27</v>
      </c>
      <c r="B531" t="s">
        <v>134</v>
      </c>
      <c r="C531">
        <v>906.33716000000004</v>
      </c>
      <c r="D531">
        <v>2038.0745400000001</v>
      </c>
    </row>
    <row r="532" spans="1:4" x14ac:dyDescent="0.35">
      <c r="A532" t="s">
        <v>27</v>
      </c>
      <c r="B532" t="s">
        <v>107</v>
      </c>
      <c r="C532">
        <v>3077.9897700000001</v>
      </c>
      <c r="D532">
        <v>5950.0845300000001</v>
      </c>
    </row>
    <row r="533" spans="1:4" x14ac:dyDescent="0.35">
      <c r="A533" t="s">
        <v>27</v>
      </c>
      <c r="B533" t="s">
        <v>67</v>
      </c>
      <c r="C533">
        <v>488.94934000000001</v>
      </c>
      <c r="D533">
        <v>1131.9474600000001</v>
      </c>
    </row>
    <row r="534" spans="1:4" x14ac:dyDescent="0.35">
      <c r="A534" t="s">
        <v>27</v>
      </c>
      <c r="B534" t="s">
        <v>111</v>
      </c>
      <c r="C534">
        <v>1642.18877</v>
      </c>
      <c r="D534">
        <v>3424.2433799999999</v>
      </c>
    </row>
    <row r="535" spans="1:4" x14ac:dyDescent="0.35">
      <c r="A535" t="s">
        <v>27</v>
      </c>
      <c r="B535" t="s">
        <v>122</v>
      </c>
      <c r="C535">
        <v>1193.25684</v>
      </c>
      <c r="D535">
        <v>2420.6190000000001</v>
      </c>
    </row>
    <row r="536" spans="1:4" x14ac:dyDescent="0.35">
      <c r="A536" t="s">
        <v>27</v>
      </c>
      <c r="B536" t="s">
        <v>123</v>
      </c>
      <c r="C536">
        <v>2373.4857000000002</v>
      </c>
      <c r="D536">
        <v>4652.1225700000005</v>
      </c>
    </row>
    <row r="537" spans="1:4" x14ac:dyDescent="0.35">
      <c r="A537" t="s">
        <v>27</v>
      </c>
      <c r="B537" t="s">
        <v>80</v>
      </c>
      <c r="C537">
        <v>1573.1473599999999</v>
      </c>
      <c r="D537">
        <v>3273.7945500000001</v>
      </c>
    </row>
    <row r="538" spans="1:4" x14ac:dyDescent="0.35">
      <c r="A538" t="s">
        <v>27</v>
      </c>
      <c r="B538" t="s">
        <v>138</v>
      </c>
      <c r="C538">
        <v>888.30354999999997</v>
      </c>
      <c r="D538">
        <v>1815.4336000000001</v>
      </c>
    </row>
    <row r="539" spans="1:4" x14ac:dyDescent="0.35">
      <c r="A539" t="s">
        <v>27</v>
      </c>
      <c r="B539" t="s">
        <v>98</v>
      </c>
      <c r="C539">
        <v>595.66300000000001</v>
      </c>
      <c r="D539">
        <v>1246.07196</v>
      </c>
    </row>
    <row r="540" spans="1:4" x14ac:dyDescent="0.35">
      <c r="A540" t="s">
        <v>27</v>
      </c>
      <c r="B540" t="s">
        <v>99</v>
      </c>
      <c r="C540">
        <v>798.01824999999997</v>
      </c>
      <c r="D540">
        <v>1511.00693</v>
      </c>
    </row>
    <row r="541" spans="1:4" x14ac:dyDescent="0.35">
      <c r="A541" t="s">
        <v>27</v>
      </c>
      <c r="B541" t="s">
        <v>131</v>
      </c>
      <c r="C541">
        <v>2335.1645400000002</v>
      </c>
      <c r="D541">
        <v>4923.8038900000001</v>
      </c>
    </row>
    <row r="542" spans="1:4" x14ac:dyDescent="0.35">
      <c r="A542" t="s">
        <v>27</v>
      </c>
      <c r="B542" t="s">
        <v>84</v>
      </c>
      <c r="C542">
        <v>717.91989000000001</v>
      </c>
      <c r="D542">
        <v>1417.8998099999999</v>
      </c>
    </row>
    <row r="543" spans="1:4" x14ac:dyDescent="0.35">
      <c r="A543" t="s">
        <v>27</v>
      </c>
      <c r="B543" t="s">
        <v>96</v>
      </c>
      <c r="C543">
        <v>742.27967000000001</v>
      </c>
      <c r="D543">
        <v>1641.92356</v>
      </c>
    </row>
    <row r="544" spans="1:4" x14ac:dyDescent="0.35">
      <c r="A544" t="s">
        <v>27</v>
      </c>
      <c r="B544" t="s">
        <v>88</v>
      </c>
      <c r="C544">
        <v>1175.0790300000001</v>
      </c>
      <c r="D544">
        <v>2604.0102299999999</v>
      </c>
    </row>
    <row r="545" spans="1:4" x14ac:dyDescent="0.35">
      <c r="A545" t="s">
        <v>27</v>
      </c>
      <c r="B545" t="s">
        <v>0</v>
      </c>
      <c r="C545">
        <v>546.06249000000003</v>
      </c>
      <c r="D545">
        <v>1409.1682900000001</v>
      </c>
    </row>
    <row r="546" spans="1:4" x14ac:dyDescent="0.35">
      <c r="A546" t="s">
        <v>27</v>
      </c>
      <c r="B546" t="s">
        <v>5</v>
      </c>
      <c r="C546">
        <v>417.03775000000002</v>
      </c>
      <c r="D546">
        <v>739.88798999999995</v>
      </c>
    </row>
    <row r="547" spans="1:4" x14ac:dyDescent="0.35">
      <c r="A547" t="s">
        <v>27</v>
      </c>
      <c r="B547" t="s">
        <v>4</v>
      </c>
      <c r="C547">
        <v>520.72080000000005</v>
      </c>
      <c r="D547">
        <v>1600.53316</v>
      </c>
    </row>
    <row r="548" spans="1:4" x14ac:dyDescent="0.35">
      <c r="A548" t="s">
        <v>27</v>
      </c>
      <c r="B548" t="s">
        <v>86</v>
      </c>
      <c r="C548">
        <v>1376.9135100000001</v>
      </c>
      <c r="D548">
        <v>2881.51998</v>
      </c>
    </row>
    <row r="549" spans="1:4" x14ac:dyDescent="0.35">
      <c r="A549" t="s">
        <v>27</v>
      </c>
      <c r="B549" t="s">
        <v>50</v>
      </c>
      <c r="C549">
        <v>2174.7103900000002</v>
      </c>
      <c r="D549">
        <v>4110.7484000000004</v>
      </c>
    </row>
    <row r="550" spans="1:4" x14ac:dyDescent="0.35">
      <c r="A550" t="s">
        <v>27</v>
      </c>
      <c r="B550" t="s">
        <v>56</v>
      </c>
      <c r="C550">
        <v>1340.18074</v>
      </c>
      <c r="D550">
        <v>2276.3879200000001</v>
      </c>
    </row>
    <row r="551" spans="1:4" x14ac:dyDescent="0.35">
      <c r="A551" t="s">
        <v>27</v>
      </c>
      <c r="B551" t="s">
        <v>60</v>
      </c>
      <c r="C551">
        <v>536.89741000000004</v>
      </c>
      <c r="D551">
        <v>1009.4065900000001</v>
      </c>
    </row>
    <row r="552" spans="1:4" x14ac:dyDescent="0.35">
      <c r="A552" t="s">
        <v>27</v>
      </c>
      <c r="B552" t="s">
        <v>61</v>
      </c>
      <c r="C552">
        <v>1304.53693</v>
      </c>
      <c r="D552">
        <v>3085.39626</v>
      </c>
    </row>
    <row r="553" spans="1:4" x14ac:dyDescent="0.35">
      <c r="A553" t="s">
        <v>27</v>
      </c>
      <c r="B553" t="s">
        <v>3</v>
      </c>
      <c r="C553">
        <v>533.68564000000003</v>
      </c>
      <c r="D553">
        <v>1154.58068</v>
      </c>
    </row>
    <row r="554" spans="1:4" x14ac:dyDescent="0.35">
      <c r="A554" t="s">
        <v>27</v>
      </c>
      <c r="B554" t="s">
        <v>126</v>
      </c>
      <c r="C554">
        <v>986.94827999999995</v>
      </c>
      <c r="D554">
        <v>1666.9948199999999</v>
      </c>
    </row>
    <row r="555" spans="1:4" x14ac:dyDescent="0.35">
      <c r="A555" t="s">
        <v>27</v>
      </c>
      <c r="B555" t="s">
        <v>242</v>
      </c>
      <c r="C555">
        <v>614.79601000000002</v>
      </c>
      <c r="D555">
        <v>1029.51529</v>
      </c>
    </row>
    <row r="556" spans="1:4" x14ac:dyDescent="0.35">
      <c r="A556" t="s">
        <v>27</v>
      </c>
      <c r="B556" t="s">
        <v>125</v>
      </c>
      <c r="C556">
        <v>760.40000999999995</v>
      </c>
      <c r="D556">
        <v>1490.2441200000001</v>
      </c>
    </row>
    <row r="557" spans="1:4" x14ac:dyDescent="0.35">
      <c r="A557" t="s">
        <v>27</v>
      </c>
      <c r="B557" t="s">
        <v>68</v>
      </c>
      <c r="C557">
        <v>435.79034999999999</v>
      </c>
      <c r="D557">
        <v>967.28994999999998</v>
      </c>
    </row>
    <row r="558" spans="1:4" x14ac:dyDescent="0.35">
      <c r="A558" t="s">
        <v>27</v>
      </c>
      <c r="B558" t="s">
        <v>90</v>
      </c>
      <c r="C558">
        <v>1273.84394</v>
      </c>
      <c r="D558">
        <v>2277.6373800000001</v>
      </c>
    </row>
    <row r="559" spans="1:4" x14ac:dyDescent="0.35">
      <c r="A559" t="s">
        <v>27</v>
      </c>
      <c r="B559" t="s">
        <v>243</v>
      </c>
      <c r="C559">
        <v>480.60322000000002</v>
      </c>
      <c r="D559">
        <v>960.32654000000002</v>
      </c>
    </row>
    <row r="560" spans="1:4" x14ac:dyDescent="0.35">
      <c r="A560" t="s">
        <v>27</v>
      </c>
      <c r="B560" t="s">
        <v>69</v>
      </c>
      <c r="C560">
        <v>1778.1899900000001</v>
      </c>
      <c r="D560">
        <v>3693.2049000000002</v>
      </c>
    </row>
    <row r="561" spans="1:4" x14ac:dyDescent="0.35">
      <c r="A561" t="s">
        <v>27</v>
      </c>
      <c r="B561" t="s">
        <v>244</v>
      </c>
      <c r="C561">
        <v>1062.5706</v>
      </c>
      <c r="D561">
        <v>2055.31727</v>
      </c>
    </row>
    <row r="562" spans="1:4" x14ac:dyDescent="0.35">
      <c r="A562" t="s">
        <v>27</v>
      </c>
      <c r="B562" t="s">
        <v>245</v>
      </c>
      <c r="C562">
        <v>697.96159999999998</v>
      </c>
      <c r="D562">
        <v>2318.6479800000002</v>
      </c>
    </row>
    <row r="563" spans="1:4" x14ac:dyDescent="0.35">
      <c r="A563" t="s">
        <v>27</v>
      </c>
      <c r="B563" t="s">
        <v>246</v>
      </c>
      <c r="C563">
        <v>974.0675</v>
      </c>
      <c r="D563">
        <v>2577.9971300000002</v>
      </c>
    </row>
    <row r="564" spans="1:4" x14ac:dyDescent="0.35">
      <c r="A564" t="s">
        <v>27</v>
      </c>
      <c r="B564" t="s">
        <v>135</v>
      </c>
      <c r="C564">
        <v>1082.8075899999999</v>
      </c>
      <c r="D564">
        <v>2324.61175</v>
      </c>
    </row>
    <row r="565" spans="1:4" x14ac:dyDescent="0.35">
      <c r="A565" t="s">
        <v>27</v>
      </c>
      <c r="B565" t="s">
        <v>116</v>
      </c>
      <c r="C565">
        <v>700.52709000000004</v>
      </c>
      <c r="D565">
        <v>1883.5244299999999</v>
      </c>
    </row>
    <row r="566" spans="1:4" x14ac:dyDescent="0.35">
      <c r="A566" t="s">
        <v>27</v>
      </c>
      <c r="B566" t="s">
        <v>247</v>
      </c>
      <c r="C566">
        <v>635.02418999999998</v>
      </c>
      <c r="D566">
        <v>1748.1621</v>
      </c>
    </row>
    <row r="567" spans="1:4" x14ac:dyDescent="0.35">
      <c r="A567" t="s">
        <v>27</v>
      </c>
      <c r="B567" t="s">
        <v>41</v>
      </c>
      <c r="C567">
        <v>3615.1955600000001</v>
      </c>
      <c r="D567">
        <v>8412.2000499999995</v>
      </c>
    </row>
    <row r="568" spans="1:4" x14ac:dyDescent="0.35">
      <c r="A568" t="s">
        <v>27</v>
      </c>
      <c r="B568" t="s">
        <v>91</v>
      </c>
      <c r="C568">
        <v>2099.3969099999999</v>
      </c>
      <c r="D568">
        <v>5189.5451000000003</v>
      </c>
    </row>
    <row r="569" spans="1:4" x14ac:dyDescent="0.35">
      <c r="A569" t="s">
        <v>27</v>
      </c>
      <c r="B569" t="s">
        <v>127</v>
      </c>
      <c r="C569">
        <v>622.67174999999997</v>
      </c>
      <c r="D569">
        <v>1633.2635499999999</v>
      </c>
    </row>
    <row r="570" spans="1:4" x14ac:dyDescent="0.35">
      <c r="A570" t="s">
        <v>27</v>
      </c>
      <c r="B570" t="s">
        <v>92</v>
      </c>
      <c r="C570">
        <v>465.25004999999999</v>
      </c>
      <c r="D570">
        <v>1139.44452</v>
      </c>
    </row>
    <row r="571" spans="1:4" x14ac:dyDescent="0.35">
      <c r="A571" t="s">
        <v>27</v>
      </c>
      <c r="B571" t="s">
        <v>248</v>
      </c>
      <c r="C571">
        <v>629.57523000000003</v>
      </c>
      <c r="D571">
        <v>1739.05366</v>
      </c>
    </row>
    <row r="572" spans="1:4" x14ac:dyDescent="0.35">
      <c r="A572" t="s">
        <v>27</v>
      </c>
      <c r="B572" t="s">
        <v>82</v>
      </c>
      <c r="C572">
        <v>546.67412000000002</v>
      </c>
      <c r="D572">
        <v>1194.80675</v>
      </c>
    </row>
    <row r="573" spans="1:4" x14ac:dyDescent="0.35">
      <c r="A573" t="s">
        <v>27</v>
      </c>
      <c r="B573" t="s">
        <v>249</v>
      </c>
      <c r="C573">
        <v>297.11970000000002</v>
      </c>
      <c r="D573">
        <v>666.66153999999995</v>
      </c>
    </row>
    <row r="574" spans="1:4" x14ac:dyDescent="0.35">
      <c r="A574" t="s">
        <v>27</v>
      </c>
      <c r="B574" t="s">
        <v>2</v>
      </c>
      <c r="C574">
        <v>1751.7708600000001</v>
      </c>
      <c r="D574">
        <v>3760.31639</v>
      </c>
    </row>
    <row r="575" spans="1:4" x14ac:dyDescent="0.35">
      <c r="A575" t="s">
        <v>27</v>
      </c>
      <c r="B575" t="s">
        <v>55</v>
      </c>
      <c r="C575">
        <v>1299.8710599999999</v>
      </c>
      <c r="D575">
        <v>2691.22795</v>
      </c>
    </row>
    <row r="576" spans="1:4" x14ac:dyDescent="0.35">
      <c r="A576" t="s">
        <v>27</v>
      </c>
      <c r="B576" t="s">
        <v>250</v>
      </c>
      <c r="C576">
        <v>479.15512000000001</v>
      </c>
      <c r="D576">
        <v>1383.8913299999999</v>
      </c>
    </row>
    <row r="577" spans="1:4" x14ac:dyDescent="0.35">
      <c r="A577" t="s">
        <v>27</v>
      </c>
      <c r="B577" t="s">
        <v>129</v>
      </c>
      <c r="C577">
        <v>493.09224999999998</v>
      </c>
      <c r="D577">
        <v>1053.24333</v>
      </c>
    </row>
    <row r="578" spans="1:4" x14ac:dyDescent="0.35">
      <c r="A578" t="s">
        <v>27</v>
      </c>
      <c r="B578" t="s">
        <v>251</v>
      </c>
      <c r="C578">
        <v>704.35937000000001</v>
      </c>
      <c r="D578">
        <v>1481.1671899999999</v>
      </c>
    </row>
    <row r="579" spans="1:4" x14ac:dyDescent="0.35">
      <c r="A579" t="s">
        <v>27</v>
      </c>
      <c r="B579" t="s">
        <v>65</v>
      </c>
      <c r="C579">
        <v>458.0222</v>
      </c>
      <c r="D579">
        <v>1045.52685</v>
      </c>
    </row>
    <row r="580" spans="1:4" x14ac:dyDescent="0.35">
      <c r="A580" t="s">
        <v>27</v>
      </c>
      <c r="B580" t="s">
        <v>101</v>
      </c>
      <c r="C580">
        <v>749.91804999999999</v>
      </c>
      <c r="D580">
        <v>1611.8133499999999</v>
      </c>
    </row>
    <row r="581" spans="1:4" x14ac:dyDescent="0.35">
      <c r="A581" t="s">
        <v>27</v>
      </c>
      <c r="B581" t="s">
        <v>66</v>
      </c>
      <c r="C581">
        <v>451.90053</v>
      </c>
      <c r="D581">
        <v>1153.68129</v>
      </c>
    </row>
    <row r="582" spans="1:4" x14ac:dyDescent="0.35">
      <c r="A582" t="s">
        <v>27</v>
      </c>
      <c r="B582" t="s">
        <v>73</v>
      </c>
      <c r="C582">
        <v>1782.1209899999999</v>
      </c>
      <c r="D582">
        <v>4013.3848200000002</v>
      </c>
    </row>
    <row r="583" spans="1:4" x14ac:dyDescent="0.35">
      <c r="A583" t="s">
        <v>27</v>
      </c>
      <c r="B583" t="s">
        <v>136</v>
      </c>
      <c r="C583">
        <v>930.80849999999998</v>
      </c>
      <c r="D583">
        <v>2336.7269999999999</v>
      </c>
    </row>
    <row r="584" spans="1:4" x14ac:dyDescent="0.35">
      <c r="A584" t="s">
        <v>27</v>
      </c>
      <c r="B584" t="s">
        <v>105</v>
      </c>
      <c r="C584">
        <v>504.52764999999999</v>
      </c>
      <c r="D584">
        <v>1224.9026699999999</v>
      </c>
    </row>
    <row r="585" spans="1:4" x14ac:dyDescent="0.35">
      <c r="A585" t="s">
        <v>27</v>
      </c>
      <c r="B585" t="s">
        <v>109</v>
      </c>
      <c r="C585">
        <v>2013.62528</v>
      </c>
      <c r="D585">
        <v>4526.64318</v>
      </c>
    </row>
    <row r="586" spans="1:4" x14ac:dyDescent="0.35">
      <c r="A586" t="s">
        <v>27</v>
      </c>
      <c r="B586" t="s">
        <v>97</v>
      </c>
      <c r="C586">
        <v>625.69235000000003</v>
      </c>
      <c r="D586">
        <v>1704.8001300000001</v>
      </c>
    </row>
    <row r="587" spans="1:4" x14ac:dyDescent="0.35">
      <c r="A587" t="s">
        <v>27</v>
      </c>
      <c r="B587" t="s">
        <v>120</v>
      </c>
      <c r="C587">
        <v>538.37085000000002</v>
      </c>
      <c r="D587">
        <v>1423.8236999999999</v>
      </c>
    </row>
    <row r="588" spans="1:4" x14ac:dyDescent="0.35">
      <c r="A588" t="s">
        <v>27</v>
      </c>
      <c r="B588" t="s">
        <v>110</v>
      </c>
      <c r="C588">
        <v>798.63626999999997</v>
      </c>
      <c r="D588">
        <v>2217.0558900000001</v>
      </c>
    </row>
    <row r="589" spans="1:4" x14ac:dyDescent="0.35">
      <c r="A589" t="s">
        <v>27</v>
      </c>
      <c r="B589" t="s">
        <v>115</v>
      </c>
      <c r="C589">
        <v>1175.2311400000001</v>
      </c>
      <c r="D589">
        <v>2821.65157</v>
      </c>
    </row>
    <row r="590" spans="1:4" x14ac:dyDescent="0.35">
      <c r="A590" t="s">
        <v>27</v>
      </c>
      <c r="B590" t="s">
        <v>42</v>
      </c>
      <c r="C590">
        <v>995.17642999999998</v>
      </c>
      <c r="D590">
        <v>2903.7690899999998</v>
      </c>
    </row>
    <row r="591" spans="1:4" x14ac:dyDescent="0.35">
      <c r="A591" t="s">
        <v>27</v>
      </c>
      <c r="B591" t="s">
        <v>58</v>
      </c>
      <c r="C591">
        <v>420.70994000000002</v>
      </c>
      <c r="D591">
        <v>1752.07268</v>
      </c>
    </row>
    <row r="592" spans="1:4" x14ac:dyDescent="0.35">
      <c r="A592" t="s">
        <v>27</v>
      </c>
      <c r="B592" t="s">
        <v>121</v>
      </c>
      <c r="C592">
        <v>1323.05375</v>
      </c>
      <c r="D592">
        <v>2397.5135700000001</v>
      </c>
    </row>
    <row r="593" spans="1:4" x14ac:dyDescent="0.35">
      <c r="A593" t="s">
        <v>27</v>
      </c>
      <c r="B593" t="s">
        <v>81</v>
      </c>
      <c r="C593">
        <v>692.84540000000004</v>
      </c>
      <c r="D593">
        <v>1647.8066699999999</v>
      </c>
    </row>
    <row r="594" spans="1:4" x14ac:dyDescent="0.35">
      <c r="A594" t="s">
        <v>27</v>
      </c>
      <c r="B594" t="s">
        <v>57</v>
      </c>
      <c r="C594">
        <v>985.31434000000002</v>
      </c>
      <c r="D594">
        <v>2156.86472</v>
      </c>
    </row>
    <row r="595" spans="1:4" x14ac:dyDescent="0.35">
      <c r="A595" t="s">
        <v>27</v>
      </c>
      <c r="B595" t="s">
        <v>1</v>
      </c>
      <c r="C595">
        <v>371.39778999999999</v>
      </c>
      <c r="D595">
        <v>788.39994999999999</v>
      </c>
    </row>
    <row r="596" spans="1:4" x14ac:dyDescent="0.35">
      <c r="A596" t="s">
        <v>27</v>
      </c>
      <c r="B596" t="s">
        <v>49</v>
      </c>
      <c r="C596">
        <v>817.24863000000005</v>
      </c>
      <c r="D596">
        <v>1603.37492</v>
      </c>
    </row>
    <row r="597" spans="1:4" x14ac:dyDescent="0.35">
      <c r="A597" t="s">
        <v>27</v>
      </c>
      <c r="B597" t="s">
        <v>130</v>
      </c>
      <c r="C597">
        <v>742.87990000000002</v>
      </c>
      <c r="D597">
        <v>1652.76981</v>
      </c>
    </row>
    <row r="598" spans="1:4" x14ac:dyDescent="0.35">
      <c r="A598" t="s">
        <v>27</v>
      </c>
      <c r="B598" t="s">
        <v>106</v>
      </c>
      <c r="C598">
        <v>2524.11796</v>
      </c>
      <c r="D598">
        <v>4282.3599999999997</v>
      </c>
    </row>
    <row r="599" spans="1:4" x14ac:dyDescent="0.35">
      <c r="A599" t="s">
        <v>27</v>
      </c>
      <c r="B599" t="s">
        <v>133</v>
      </c>
      <c r="C599">
        <v>1017.14019</v>
      </c>
      <c r="D599">
        <v>1978.26647</v>
      </c>
    </row>
    <row r="600" spans="1:4" x14ac:dyDescent="0.35">
      <c r="A600" t="s">
        <v>28</v>
      </c>
      <c r="B600" t="s">
        <v>76</v>
      </c>
      <c r="C600">
        <v>3034.8916100000001</v>
      </c>
      <c r="D600">
        <v>6317.0938900000001</v>
      </c>
    </row>
    <row r="601" spans="1:4" x14ac:dyDescent="0.35">
      <c r="A601" t="s">
        <v>28</v>
      </c>
      <c r="B601" t="s">
        <v>83</v>
      </c>
      <c r="C601">
        <v>2447.0230099999999</v>
      </c>
      <c r="D601">
        <v>4333.2810099999997</v>
      </c>
    </row>
    <row r="602" spans="1:4" x14ac:dyDescent="0.35">
      <c r="A602" t="s">
        <v>28</v>
      </c>
      <c r="B602" t="s">
        <v>77</v>
      </c>
      <c r="C602">
        <v>1060.5174300000001</v>
      </c>
      <c r="D602">
        <v>2274.2764099999999</v>
      </c>
    </row>
    <row r="603" spans="1:4" x14ac:dyDescent="0.35">
      <c r="A603" t="s">
        <v>28</v>
      </c>
      <c r="B603" t="s">
        <v>64</v>
      </c>
      <c r="C603">
        <v>1324.95093</v>
      </c>
      <c r="D603">
        <v>2401.6485499999999</v>
      </c>
    </row>
    <row r="604" spans="1:4" x14ac:dyDescent="0.35">
      <c r="A604" t="s">
        <v>28</v>
      </c>
      <c r="B604" t="s">
        <v>45</v>
      </c>
      <c r="C604">
        <v>3054.74899</v>
      </c>
      <c r="D604">
        <v>5133.2510000000002</v>
      </c>
    </row>
    <row r="605" spans="1:4" x14ac:dyDescent="0.35">
      <c r="A605" t="s">
        <v>28</v>
      </c>
      <c r="B605" t="s">
        <v>104</v>
      </c>
      <c r="C605">
        <v>592.3877</v>
      </c>
      <c r="D605">
        <v>1167.25135</v>
      </c>
    </row>
    <row r="606" spans="1:4" x14ac:dyDescent="0.35">
      <c r="A606" t="s">
        <v>28</v>
      </c>
      <c r="B606" t="s">
        <v>51</v>
      </c>
      <c r="C606">
        <v>2519.24161</v>
      </c>
      <c r="D606">
        <v>4575.1696899999997</v>
      </c>
    </row>
    <row r="607" spans="1:4" x14ac:dyDescent="0.35">
      <c r="A607" t="s">
        <v>28</v>
      </c>
      <c r="B607" t="s">
        <v>108</v>
      </c>
      <c r="C607">
        <v>1817.22516</v>
      </c>
      <c r="D607">
        <v>3243.8535099999999</v>
      </c>
    </row>
    <row r="608" spans="1:4" x14ac:dyDescent="0.35">
      <c r="A608" t="s">
        <v>28</v>
      </c>
      <c r="B608" t="s">
        <v>87</v>
      </c>
      <c r="C608">
        <v>578.85521000000006</v>
      </c>
      <c r="D608">
        <v>1225.8660199999999</v>
      </c>
    </row>
    <row r="609" spans="1:4" x14ac:dyDescent="0.35">
      <c r="A609" t="s">
        <v>28</v>
      </c>
      <c r="B609" t="s">
        <v>103</v>
      </c>
      <c r="C609">
        <v>1479.1783800000001</v>
      </c>
      <c r="D609">
        <v>2223.14491</v>
      </c>
    </row>
    <row r="610" spans="1:4" x14ac:dyDescent="0.35">
      <c r="A610" t="s">
        <v>28</v>
      </c>
      <c r="B610" t="s">
        <v>52</v>
      </c>
      <c r="C610">
        <v>520.32219999999995</v>
      </c>
      <c r="D610">
        <v>956.15070000000003</v>
      </c>
    </row>
    <row r="611" spans="1:4" x14ac:dyDescent="0.35">
      <c r="A611" t="s">
        <v>28</v>
      </c>
      <c r="B611" t="s">
        <v>139</v>
      </c>
      <c r="C611">
        <v>2190.9432700000002</v>
      </c>
      <c r="D611">
        <v>4039.1997799999999</v>
      </c>
    </row>
    <row r="612" spans="1:4" x14ac:dyDescent="0.35">
      <c r="A612" t="s">
        <v>28</v>
      </c>
      <c r="B612" t="s">
        <v>240</v>
      </c>
      <c r="C612">
        <v>1558.25269</v>
      </c>
      <c r="D612">
        <v>2861.9614499999998</v>
      </c>
    </row>
    <row r="613" spans="1:4" x14ac:dyDescent="0.35">
      <c r="A613" t="s">
        <v>28</v>
      </c>
      <c r="B613" t="s">
        <v>78</v>
      </c>
      <c r="C613">
        <v>590.05835999999999</v>
      </c>
      <c r="D613">
        <v>1334.63573</v>
      </c>
    </row>
    <row r="614" spans="1:4" x14ac:dyDescent="0.35">
      <c r="A614" t="s">
        <v>28</v>
      </c>
      <c r="B614" t="s">
        <v>118</v>
      </c>
      <c r="C614">
        <v>868.14752999999996</v>
      </c>
      <c r="D614">
        <v>1741.57222</v>
      </c>
    </row>
    <row r="615" spans="1:4" x14ac:dyDescent="0.35">
      <c r="A615" t="s">
        <v>28</v>
      </c>
      <c r="B615" t="s">
        <v>53</v>
      </c>
      <c r="C615">
        <v>640.59401000000003</v>
      </c>
      <c r="D615">
        <v>1334.00135</v>
      </c>
    </row>
    <row r="616" spans="1:4" x14ac:dyDescent="0.35">
      <c r="A616" t="s">
        <v>28</v>
      </c>
      <c r="B616" t="s">
        <v>79</v>
      </c>
      <c r="C616">
        <v>1595.2773</v>
      </c>
      <c r="D616">
        <v>2725.5100699999998</v>
      </c>
    </row>
    <row r="617" spans="1:4" x14ac:dyDescent="0.35">
      <c r="A617" t="s">
        <v>28</v>
      </c>
      <c r="B617" t="s">
        <v>71</v>
      </c>
      <c r="C617">
        <v>1353.27855</v>
      </c>
      <c r="D617">
        <v>2908.5171999999998</v>
      </c>
    </row>
    <row r="618" spans="1:4" x14ac:dyDescent="0.35">
      <c r="A618" t="s">
        <v>28</v>
      </c>
      <c r="B618" t="s">
        <v>48</v>
      </c>
      <c r="C618">
        <v>657.05295999999998</v>
      </c>
      <c r="D618">
        <v>1324.98191</v>
      </c>
    </row>
    <row r="619" spans="1:4" x14ac:dyDescent="0.35">
      <c r="A619" t="s">
        <v>28</v>
      </c>
      <c r="B619" t="s">
        <v>85</v>
      </c>
      <c r="C619">
        <v>1357.4151099999999</v>
      </c>
      <c r="D619">
        <v>2427.0797899999998</v>
      </c>
    </row>
    <row r="620" spans="1:4" x14ac:dyDescent="0.35">
      <c r="A620" t="s">
        <v>28</v>
      </c>
      <c r="B620" t="s">
        <v>93</v>
      </c>
      <c r="C620">
        <v>745.53566999999998</v>
      </c>
      <c r="D620">
        <v>1393.4190900000001</v>
      </c>
    </row>
    <row r="621" spans="1:4" x14ac:dyDescent="0.35">
      <c r="A621" t="s">
        <v>28</v>
      </c>
      <c r="B621" t="s">
        <v>59</v>
      </c>
      <c r="C621">
        <v>748.80404999999996</v>
      </c>
      <c r="D621">
        <v>1592.0074099999999</v>
      </c>
    </row>
    <row r="622" spans="1:4" x14ac:dyDescent="0.35">
      <c r="A622" t="s">
        <v>28</v>
      </c>
      <c r="B622" t="s">
        <v>100</v>
      </c>
      <c r="C622">
        <v>488.92590999999999</v>
      </c>
      <c r="D622">
        <v>1061.31306</v>
      </c>
    </row>
    <row r="623" spans="1:4" x14ac:dyDescent="0.35">
      <c r="A623" t="s">
        <v>28</v>
      </c>
      <c r="B623" t="s">
        <v>6</v>
      </c>
      <c r="C623">
        <v>1041.0153700000001</v>
      </c>
      <c r="D623">
        <v>2136.63753</v>
      </c>
    </row>
    <row r="624" spans="1:4" x14ac:dyDescent="0.35">
      <c r="A624" t="s">
        <v>28</v>
      </c>
      <c r="B624" t="s">
        <v>70</v>
      </c>
      <c r="C624">
        <v>1272.2418700000001</v>
      </c>
      <c r="D624">
        <v>3095.6855300000002</v>
      </c>
    </row>
    <row r="625" spans="1:4" x14ac:dyDescent="0.35">
      <c r="A625" t="s">
        <v>28</v>
      </c>
      <c r="B625" t="s">
        <v>63</v>
      </c>
      <c r="C625">
        <v>898.99282000000005</v>
      </c>
      <c r="D625">
        <v>1476.03763</v>
      </c>
    </row>
    <row r="626" spans="1:4" x14ac:dyDescent="0.35">
      <c r="A626" t="s">
        <v>28</v>
      </c>
      <c r="B626" t="s">
        <v>117</v>
      </c>
      <c r="C626">
        <v>1223.9159999999999</v>
      </c>
      <c r="D626">
        <v>2270.5867600000001</v>
      </c>
    </row>
    <row r="627" spans="1:4" x14ac:dyDescent="0.35">
      <c r="A627" t="s">
        <v>28</v>
      </c>
      <c r="B627" t="s">
        <v>47</v>
      </c>
      <c r="C627">
        <v>1637.4269899999999</v>
      </c>
      <c r="D627">
        <v>3460.80755</v>
      </c>
    </row>
    <row r="628" spans="1:4" x14ac:dyDescent="0.35">
      <c r="A628" t="s">
        <v>28</v>
      </c>
      <c r="B628" t="s">
        <v>54</v>
      </c>
      <c r="C628">
        <v>440.04037</v>
      </c>
      <c r="D628">
        <v>872.22901000000002</v>
      </c>
    </row>
    <row r="629" spans="1:4" x14ac:dyDescent="0.35">
      <c r="A629" t="s">
        <v>28</v>
      </c>
      <c r="B629" t="s">
        <v>43</v>
      </c>
      <c r="C629">
        <v>1165.72945</v>
      </c>
      <c r="D629">
        <v>2367.3156800000002</v>
      </c>
    </row>
    <row r="630" spans="1:4" x14ac:dyDescent="0.35">
      <c r="A630" t="s">
        <v>28</v>
      </c>
      <c r="B630" t="s">
        <v>95</v>
      </c>
      <c r="C630">
        <v>613.77125000000001</v>
      </c>
      <c r="D630">
        <v>1211.28568</v>
      </c>
    </row>
    <row r="631" spans="1:4" x14ac:dyDescent="0.35">
      <c r="A631" t="s">
        <v>28</v>
      </c>
      <c r="B631" t="s">
        <v>119</v>
      </c>
      <c r="C631">
        <v>1400.76073</v>
      </c>
      <c r="D631">
        <v>2837.1531300000001</v>
      </c>
    </row>
    <row r="632" spans="1:4" x14ac:dyDescent="0.35">
      <c r="A632" t="s">
        <v>28</v>
      </c>
      <c r="B632" t="s">
        <v>124</v>
      </c>
      <c r="C632">
        <v>1120.19912</v>
      </c>
      <c r="D632">
        <v>1866.4763499999999</v>
      </c>
    </row>
    <row r="633" spans="1:4" x14ac:dyDescent="0.35">
      <c r="A633" t="s">
        <v>28</v>
      </c>
      <c r="B633" t="s">
        <v>102</v>
      </c>
      <c r="C633">
        <v>754.82875000000001</v>
      </c>
      <c r="D633">
        <v>1364.75559</v>
      </c>
    </row>
    <row r="634" spans="1:4" x14ac:dyDescent="0.35">
      <c r="A634" t="s">
        <v>28</v>
      </c>
      <c r="B634" t="s">
        <v>62</v>
      </c>
      <c r="C634">
        <v>1389.2420199999999</v>
      </c>
      <c r="D634">
        <v>2967.3847599999999</v>
      </c>
    </row>
    <row r="635" spans="1:4" x14ac:dyDescent="0.35">
      <c r="A635" t="s">
        <v>28</v>
      </c>
      <c r="B635" t="s">
        <v>132</v>
      </c>
      <c r="C635">
        <v>772.92603999999994</v>
      </c>
      <c r="D635">
        <v>1981.6023299999999</v>
      </c>
    </row>
    <row r="636" spans="1:4" x14ac:dyDescent="0.35">
      <c r="A636" t="s">
        <v>28</v>
      </c>
      <c r="B636" t="s">
        <v>140</v>
      </c>
      <c r="C636">
        <v>2239.8599800000002</v>
      </c>
      <c r="D636">
        <v>4296.5500099999999</v>
      </c>
    </row>
    <row r="637" spans="1:4" x14ac:dyDescent="0.35">
      <c r="A637" t="s">
        <v>28</v>
      </c>
      <c r="B637" t="s">
        <v>94</v>
      </c>
      <c r="C637">
        <v>972.36662000000001</v>
      </c>
      <c r="D637">
        <v>1974.61041</v>
      </c>
    </row>
    <row r="638" spans="1:4" x14ac:dyDescent="0.35">
      <c r="A638" t="s">
        <v>28</v>
      </c>
      <c r="B638" t="s">
        <v>44</v>
      </c>
      <c r="C638">
        <v>263.41401000000002</v>
      </c>
      <c r="D638">
        <v>599.59847000000002</v>
      </c>
    </row>
    <row r="639" spans="1:4" x14ac:dyDescent="0.35">
      <c r="A639" t="s">
        <v>28</v>
      </c>
      <c r="B639" t="s">
        <v>74</v>
      </c>
      <c r="C639">
        <v>1215.60941</v>
      </c>
      <c r="D639">
        <v>2554.46497</v>
      </c>
    </row>
    <row r="640" spans="1:4" x14ac:dyDescent="0.35">
      <c r="A640" t="s">
        <v>28</v>
      </c>
      <c r="B640" t="s">
        <v>72</v>
      </c>
      <c r="C640">
        <v>1920.4525000000001</v>
      </c>
      <c r="D640">
        <v>3695.5524799999998</v>
      </c>
    </row>
    <row r="641" spans="1:4" x14ac:dyDescent="0.35">
      <c r="A641" t="s">
        <v>28</v>
      </c>
      <c r="B641" t="s">
        <v>137</v>
      </c>
      <c r="C641">
        <v>820.43074999999999</v>
      </c>
      <c r="D641">
        <v>1868.2773</v>
      </c>
    </row>
    <row r="642" spans="1:4" x14ac:dyDescent="0.35">
      <c r="A642" t="s">
        <v>28</v>
      </c>
      <c r="B642" t="s">
        <v>112</v>
      </c>
      <c r="C642">
        <v>2143.59611</v>
      </c>
      <c r="D642">
        <v>3974.9919799999998</v>
      </c>
    </row>
    <row r="643" spans="1:4" x14ac:dyDescent="0.35">
      <c r="A643" t="s">
        <v>28</v>
      </c>
      <c r="B643" t="s">
        <v>75</v>
      </c>
      <c r="C643">
        <v>852.97645</v>
      </c>
      <c r="D643">
        <v>1760.6245899999999</v>
      </c>
    </row>
    <row r="644" spans="1:4" x14ac:dyDescent="0.35">
      <c r="A644" t="s">
        <v>28</v>
      </c>
      <c r="B644" t="s">
        <v>113</v>
      </c>
      <c r="C644">
        <v>707.37968000000001</v>
      </c>
      <c r="D644">
        <v>1204.5503100000001</v>
      </c>
    </row>
    <row r="645" spans="1:4" x14ac:dyDescent="0.35">
      <c r="A645" t="s">
        <v>28</v>
      </c>
      <c r="B645" t="s">
        <v>46</v>
      </c>
      <c r="C645">
        <v>759.24973</v>
      </c>
      <c r="D645">
        <v>1325.1323600000001</v>
      </c>
    </row>
    <row r="646" spans="1:4" x14ac:dyDescent="0.35">
      <c r="A646" t="s">
        <v>28</v>
      </c>
      <c r="B646" t="s">
        <v>114</v>
      </c>
      <c r="C646">
        <v>687.71547999999996</v>
      </c>
      <c r="D646">
        <v>1365.08719</v>
      </c>
    </row>
    <row r="647" spans="1:4" x14ac:dyDescent="0.35">
      <c r="A647" t="s">
        <v>28</v>
      </c>
      <c r="B647" t="s">
        <v>128</v>
      </c>
      <c r="C647">
        <v>849.82799999999997</v>
      </c>
      <c r="D647">
        <v>2049.3132900000001</v>
      </c>
    </row>
    <row r="648" spans="1:4" x14ac:dyDescent="0.35">
      <c r="A648" t="s">
        <v>28</v>
      </c>
      <c r="B648" t="s">
        <v>89</v>
      </c>
      <c r="C648">
        <v>442.17750000000001</v>
      </c>
      <c r="D648">
        <v>1020.9791300000001</v>
      </c>
    </row>
    <row r="649" spans="1:4" x14ac:dyDescent="0.35">
      <c r="A649" t="s">
        <v>28</v>
      </c>
      <c r="B649" t="s">
        <v>241</v>
      </c>
      <c r="C649">
        <v>647.95183999999995</v>
      </c>
      <c r="D649">
        <v>1668.48343</v>
      </c>
    </row>
    <row r="650" spans="1:4" x14ac:dyDescent="0.35">
      <c r="A650" t="s">
        <v>28</v>
      </c>
      <c r="B650" t="s">
        <v>134</v>
      </c>
      <c r="C650">
        <v>899.77466000000004</v>
      </c>
      <c r="D650">
        <v>2032.9612199999999</v>
      </c>
    </row>
    <row r="651" spans="1:4" x14ac:dyDescent="0.35">
      <c r="A651" t="s">
        <v>28</v>
      </c>
      <c r="B651" t="s">
        <v>107</v>
      </c>
      <c r="C651">
        <v>3034.8706999999999</v>
      </c>
      <c r="D651">
        <v>5945.1607000000004</v>
      </c>
    </row>
    <row r="652" spans="1:4" x14ac:dyDescent="0.35">
      <c r="A652" t="s">
        <v>28</v>
      </c>
      <c r="B652" t="s">
        <v>67</v>
      </c>
      <c r="C652">
        <v>488.49009000000001</v>
      </c>
      <c r="D652">
        <v>1125.6141399999999</v>
      </c>
    </row>
    <row r="653" spans="1:4" x14ac:dyDescent="0.35">
      <c r="A653" t="s">
        <v>28</v>
      </c>
      <c r="B653" t="s">
        <v>111</v>
      </c>
      <c r="C653">
        <v>1727.11022</v>
      </c>
      <c r="D653">
        <v>3419.43804</v>
      </c>
    </row>
    <row r="654" spans="1:4" x14ac:dyDescent="0.35">
      <c r="A654" t="s">
        <v>28</v>
      </c>
      <c r="B654" t="s">
        <v>122</v>
      </c>
      <c r="C654">
        <v>1172.83699</v>
      </c>
      <c r="D654">
        <v>2414.3528799999999</v>
      </c>
    </row>
    <row r="655" spans="1:4" x14ac:dyDescent="0.35">
      <c r="A655" t="s">
        <v>28</v>
      </c>
      <c r="B655" t="s">
        <v>123</v>
      </c>
      <c r="C655">
        <v>2324.5644499999999</v>
      </c>
      <c r="D655">
        <v>4622.7984100000003</v>
      </c>
    </row>
    <row r="656" spans="1:4" x14ac:dyDescent="0.35">
      <c r="A656" t="s">
        <v>28</v>
      </c>
      <c r="B656" t="s">
        <v>80</v>
      </c>
      <c r="C656">
        <v>1565.07871</v>
      </c>
      <c r="D656">
        <v>3268.9320299999999</v>
      </c>
    </row>
    <row r="657" spans="1:4" x14ac:dyDescent="0.35">
      <c r="A657" t="s">
        <v>28</v>
      </c>
      <c r="B657" t="s">
        <v>138</v>
      </c>
      <c r="C657">
        <v>876.25054999999998</v>
      </c>
      <c r="D657">
        <v>1806.99359</v>
      </c>
    </row>
    <row r="658" spans="1:4" x14ac:dyDescent="0.35">
      <c r="A658" t="s">
        <v>28</v>
      </c>
      <c r="B658" t="s">
        <v>98</v>
      </c>
      <c r="C658">
        <v>572.82000000000005</v>
      </c>
      <c r="D658">
        <v>1254.27864</v>
      </c>
    </row>
    <row r="659" spans="1:4" x14ac:dyDescent="0.35">
      <c r="A659" t="s">
        <v>28</v>
      </c>
      <c r="B659" t="s">
        <v>99</v>
      </c>
      <c r="C659">
        <v>785.78075000000001</v>
      </c>
      <c r="D659">
        <v>1494.9864</v>
      </c>
    </row>
    <row r="660" spans="1:4" x14ac:dyDescent="0.35">
      <c r="A660" t="s">
        <v>28</v>
      </c>
      <c r="B660" t="s">
        <v>131</v>
      </c>
      <c r="C660">
        <v>2438.7112900000002</v>
      </c>
      <c r="D660">
        <v>4908.5425599999999</v>
      </c>
    </row>
    <row r="661" spans="1:4" x14ac:dyDescent="0.35">
      <c r="A661" t="s">
        <v>28</v>
      </c>
      <c r="B661" t="s">
        <v>84</v>
      </c>
      <c r="C661">
        <v>779.60739000000001</v>
      </c>
      <c r="D661">
        <v>1416.8931299999999</v>
      </c>
    </row>
    <row r="662" spans="1:4" x14ac:dyDescent="0.35">
      <c r="A662" t="s">
        <v>28</v>
      </c>
      <c r="B662" t="s">
        <v>96</v>
      </c>
      <c r="C662">
        <v>748.41542000000004</v>
      </c>
      <c r="D662">
        <v>1638.7369699999999</v>
      </c>
    </row>
    <row r="663" spans="1:4" x14ac:dyDescent="0.35">
      <c r="A663" t="s">
        <v>28</v>
      </c>
      <c r="B663" t="s">
        <v>88</v>
      </c>
      <c r="C663">
        <v>1162.89103</v>
      </c>
      <c r="D663">
        <v>2600.2469099999998</v>
      </c>
    </row>
    <row r="664" spans="1:4" x14ac:dyDescent="0.35">
      <c r="A664" t="s">
        <v>28</v>
      </c>
      <c r="B664" t="s">
        <v>0</v>
      </c>
      <c r="C664">
        <v>546.84249</v>
      </c>
      <c r="D664">
        <v>1397.22163</v>
      </c>
    </row>
    <row r="665" spans="1:4" x14ac:dyDescent="0.35">
      <c r="A665" t="s">
        <v>28</v>
      </c>
      <c r="B665" t="s">
        <v>5</v>
      </c>
      <c r="C665">
        <v>444.06274999999999</v>
      </c>
      <c r="D665">
        <v>744.86132999999995</v>
      </c>
    </row>
    <row r="666" spans="1:4" x14ac:dyDescent="0.35">
      <c r="A666" t="s">
        <v>28</v>
      </c>
      <c r="B666" t="s">
        <v>4</v>
      </c>
      <c r="C666">
        <v>517.42629999999997</v>
      </c>
      <c r="D666">
        <v>1602.6278199999999</v>
      </c>
    </row>
    <row r="667" spans="1:4" x14ac:dyDescent="0.35">
      <c r="A667" t="s">
        <v>28</v>
      </c>
      <c r="B667" t="s">
        <v>86</v>
      </c>
      <c r="C667">
        <v>1367.04926</v>
      </c>
      <c r="D667">
        <v>2872.2399599999999</v>
      </c>
    </row>
    <row r="668" spans="1:4" x14ac:dyDescent="0.35">
      <c r="A668" t="s">
        <v>28</v>
      </c>
      <c r="B668" t="s">
        <v>50</v>
      </c>
      <c r="C668">
        <v>2157.5390699999998</v>
      </c>
      <c r="D668">
        <v>4085.8444199999999</v>
      </c>
    </row>
    <row r="669" spans="1:4" x14ac:dyDescent="0.35">
      <c r="A669" t="s">
        <v>28</v>
      </c>
      <c r="B669" t="s">
        <v>56</v>
      </c>
      <c r="C669">
        <v>1336.4957400000001</v>
      </c>
      <c r="D669">
        <v>2279.6012599999999</v>
      </c>
    </row>
    <row r="670" spans="1:4" x14ac:dyDescent="0.35">
      <c r="A670" t="s">
        <v>28</v>
      </c>
      <c r="B670" t="s">
        <v>60</v>
      </c>
      <c r="C670">
        <v>571.73699999999997</v>
      </c>
      <c r="D670">
        <v>1008.9065900000001</v>
      </c>
    </row>
    <row r="671" spans="1:4" x14ac:dyDescent="0.35">
      <c r="A671" t="s">
        <v>28</v>
      </c>
      <c r="B671" t="s">
        <v>61</v>
      </c>
      <c r="C671">
        <v>1304.44298</v>
      </c>
      <c r="D671">
        <v>3113.1464099999998</v>
      </c>
    </row>
    <row r="672" spans="1:4" x14ac:dyDescent="0.35">
      <c r="A672" t="s">
        <v>28</v>
      </c>
      <c r="B672" t="s">
        <v>3</v>
      </c>
      <c r="C672">
        <v>523.45064000000002</v>
      </c>
      <c r="D672">
        <v>1148.82068</v>
      </c>
    </row>
    <row r="673" spans="1:4" x14ac:dyDescent="0.35">
      <c r="A673" t="s">
        <v>28</v>
      </c>
      <c r="B673" t="s">
        <v>126</v>
      </c>
      <c r="C673">
        <v>1052.90617</v>
      </c>
      <c r="D673">
        <v>1666.86283</v>
      </c>
    </row>
    <row r="674" spans="1:4" x14ac:dyDescent="0.35">
      <c r="A674" t="s">
        <v>28</v>
      </c>
      <c r="B674" t="s">
        <v>242</v>
      </c>
      <c r="C674">
        <v>611.70851000000005</v>
      </c>
      <c r="D674">
        <v>1021.3752899999999</v>
      </c>
    </row>
    <row r="675" spans="1:4" x14ac:dyDescent="0.35">
      <c r="A675" t="s">
        <v>28</v>
      </c>
      <c r="B675" t="s">
        <v>125</v>
      </c>
      <c r="C675">
        <v>753.06260999999995</v>
      </c>
      <c r="D675">
        <v>1497.31078</v>
      </c>
    </row>
    <row r="676" spans="1:4" x14ac:dyDescent="0.35">
      <c r="A676" t="s">
        <v>28</v>
      </c>
      <c r="B676" t="s">
        <v>68</v>
      </c>
      <c r="C676">
        <v>480.74945000000002</v>
      </c>
      <c r="D676">
        <v>970.20995000000005</v>
      </c>
    </row>
    <row r="677" spans="1:4" x14ac:dyDescent="0.35">
      <c r="A677" t="s">
        <v>28</v>
      </c>
      <c r="B677" t="s">
        <v>90</v>
      </c>
      <c r="C677">
        <v>1263.57519</v>
      </c>
      <c r="D677">
        <v>2286.99071</v>
      </c>
    </row>
    <row r="678" spans="1:4" x14ac:dyDescent="0.35">
      <c r="A678" t="s">
        <v>28</v>
      </c>
      <c r="B678" t="s">
        <v>243</v>
      </c>
      <c r="C678">
        <v>520.61022000000003</v>
      </c>
      <c r="D678">
        <v>948.33987000000002</v>
      </c>
    </row>
    <row r="679" spans="1:4" x14ac:dyDescent="0.35">
      <c r="A679" t="s">
        <v>28</v>
      </c>
      <c r="B679" t="s">
        <v>69</v>
      </c>
      <c r="C679">
        <v>1766.91374</v>
      </c>
      <c r="D679">
        <v>3679.55404</v>
      </c>
    </row>
    <row r="680" spans="1:4" x14ac:dyDescent="0.35">
      <c r="A680" t="s">
        <v>28</v>
      </c>
      <c r="B680" t="s">
        <v>244</v>
      </c>
      <c r="C680">
        <v>1126.0878</v>
      </c>
      <c r="D680">
        <v>2058.7039199999999</v>
      </c>
    </row>
    <row r="681" spans="1:4" x14ac:dyDescent="0.35">
      <c r="A681" t="s">
        <v>28</v>
      </c>
      <c r="B681" t="s">
        <v>245</v>
      </c>
      <c r="C681">
        <v>692.56759999999997</v>
      </c>
      <c r="D681">
        <v>2302.7013099999999</v>
      </c>
    </row>
    <row r="682" spans="1:4" x14ac:dyDescent="0.35">
      <c r="A682" t="s">
        <v>28</v>
      </c>
      <c r="B682" t="s">
        <v>246</v>
      </c>
      <c r="C682">
        <v>962.68784000000005</v>
      </c>
      <c r="D682">
        <v>2557.3504600000001</v>
      </c>
    </row>
    <row r="683" spans="1:4" x14ac:dyDescent="0.35">
      <c r="A683" t="s">
        <v>28</v>
      </c>
      <c r="B683" t="s">
        <v>135</v>
      </c>
      <c r="C683">
        <v>1075.94409</v>
      </c>
      <c r="D683">
        <v>2300.40508</v>
      </c>
    </row>
    <row r="684" spans="1:4" x14ac:dyDescent="0.35">
      <c r="A684" t="s">
        <v>28</v>
      </c>
      <c r="B684" t="s">
        <v>116</v>
      </c>
      <c r="C684">
        <v>693.12558999999999</v>
      </c>
      <c r="D684">
        <v>1868.65644</v>
      </c>
    </row>
    <row r="685" spans="1:4" x14ac:dyDescent="0.35">
      <c r="A685" t="s">
        <v>28</v>
      </c>
      <c r="B685" t="s">
        <v>247</v>
      </c>
      <c r="C685">
        <v>666.81934000000001</v>
      </c>
      <c r="D685">
        <v>1735.6477400000001</v>
      </c>
    </row>
    <row r="686" spans="1:4" x14ac:dyDescent="0.35">
      <c r="A686" t="s">
        <v>28</v>
      </c>
      <c r="B686" t="s">
        <v>41</v>
      </c>
      <c r="C686">
        <v>3588.1597299999999</v>
      </c>
      <c r="D686">
        <v>8404.7601099999993</v>
      </c>
    </row>
    <row r="687" spans="1:4" x14ac:dyDescent="0.35">
      <c r="A687" t="s">
        <v>28</v>
      </c>
      <c r="B687" t="s">
        <v>91</v>
      </c>
      <c r="C687">
        <v>2087.7376100000001</v>
      </c>
      <c r="D687">
        <v>5188.84512</v>
      </c>
    </row>
    <row r="688" spans="1:4" x14ac:dyDescent="0.35">
      <c r="A688" t="s">
        <v>28</v>
      </c>
      <c r="B688" t="s">
        <v>127</v>
      </c>
      <c r="C688">
        <v>612.89675</v>
      </c>
      <c r="D688">
        <v>1639.1835599999999</v>
      </c>
    </row>
    <row r="689" spans="1:4" x14ac:dyDescent="0.35">
      <c r="A689" t="s">
        <v>28</v>
      </c>
      <c r="B689" t="s">
        <v>92</v>
      </c>
      <c r="C689">
        <v>452.63929999999999</v>
      </c>
      <c r="D689">
        <v>1135.8445200000001</v>
      </c>
    </row>
    <row r="690" spans="1:4" x14ac:dyDescent="0.35">
      <c r="A690" t="s">
        <v>28</v>
      </c>
      <c r="B690" t="s">
        <v>248</v>
      </c>
      <c r="C690">
        <v>624.45023000000003</v>
      </c>
      <c r="D690">
        <v>1738.5203200000001</v>
      </c>
    </row>
    <row r="691" spans="1:4" x14ac:dyDescent="0.35">
      <c r="A691" t="s">
        <v>28</v>
      </c>
      <c r="B691" t="s">
        <v>82</v>
      </c>
      <c r="C691">
        <v>529.59786999999994</v>
      </c>
      <c r="D691">
        <v>1196.71342</v>
      </c>
    </row>
    <row r="692" spans="1:4" x14ac:dyDescent="0.35">
      <c r="A692" t="s">
        <v>28</v>
      </c>
      <c r="B692" t="s">
        <v>249</v>
      </c>
      <c r="C692">
        <v>294.64116999999999</v>
      </c>
      <c r="D692">
        <v>675.15485999999999</v>
      </c>
    </row>
    <row r="693" spans="1:4" x14ac:dyDescent="0.35">
      <c r="A693" t="s">
        <v>28</v>
      </c>
      <c r="B693" t="s">
        <v>2</v>
      </c>
      <c r="C693">
        <v>1749.7123300000001</v>
      </c>
      <c r="D693">
        <v>3775.99638</v>
      </c>
    </row>
    <row r="694" spans="1:4" x14ac:dyDescent="0.35">
      <c r="A694" t="s">
        <v>28</v>
      </c>
      <c r="B694" t="s">
        <v>55</v>
      </c>
      <c r="C694">
        <v>1277.5705599999999</v>
      </c>
      <c r="D694">
        <v>2687.1666100000002</v>
      </c>
    </row>
    <row r="695" spans="1:4" x14ac:dyDescent="0.35">
      <c r="A695" t="s">
        <v>28</v>
      </c>
      <c r="B695" t="s">
        <v>250</v>
      </c>
      <c r="C695">
        <v>476.21386999999999</v>
      </c>
      <c r="D695">
        <v>1382.6146699999999</v>
      </c>
    </row>
    <row r="696" spans="1:4" x14ac:dyDescent="0.35">
      <c r="A696" t="s">
        <v>28</v>
      </c>
      <c r="B696" t="s">
        <v>129</v>
      </c>
      <c r="C696">
        <v>484.68344999999999</v>
      </c>
      <c r="D696">
        <v>1040.80333</v>
      </c>
    </row>
    <row r="697" spans="1:4" x14ac:dyDescent="0.35">
      <c r="A697" t="s">
        <v>28</v>
      </c>
      <c r="B697" t="s">
        <v>251</v>
      </c>
      <c r="C697">
        <v>703.22681</v>
      </c>
      <c r="D697">
        <v>1485.31385</v>
      </c>
    </row>
    <row r="698" spans="1:4" x14ac:dyDescent="0.35">
      <c r="A698" t="s">
        <v>28</v>
      </c>
      <c r="B698" t="s">
        <v>65</v>
      </c>
      <c r="C698">
        <v>453.5872</v>
      </c>
      <c r="D698">
        <v>1053.3668500000001</v>
      </c>
    </row>
    <row r="699" spans="1:4" x14ac:dyDescent="0.35">
      <c r="A699" t="s">
        <v>28</v>
      </c>
      <c r="B699" t="s">
        <v>101</v>
      </c>
      <c r="C699">
        <v>745.89305000000002</v>
      </c>
      <c r="D699">
        <v>1608.01668</v>
      </c>
    </row>
    <row r="700" spans="1:4" x14ac:dyDescent="0.35">
      <c r="A700" t="s">
        <v>28</v>
      </c>
      <c r="B700" t="s">
        <v>66</v>
      </c>
      <c r="C700">
        <v>443.02082999999999</v>
      </c>
      <c r="D700">
        <v>1159.7002199999999</v>
      </c>
    </row>
    <row r="701" spans="1:4" x14ac:dyDescent="0.35">
      <c r="A701" t="s">
        <v>28</v>
      </c>
      <c r="B701" t="s">
        <v>73</v>
      </c>
      <c r="C701">
        <v>1768.19875</v>
      </c>
      <c r="D701">
        <v>4002.3859000000002</v>
      </c>
    </row>
    <row r="702" spans="1:4" x14ac:dyDescent="0.35">
      <c r="A702" t="s">
        <v>28</v>
      </c>
      <c r="B702" t="s">
        <v>136</v>
      </c>
      <c r="C702">
        <v>921.74895000000004</v>
      </c>
      <c r="D702">
        <v>2353.7936500000001</v>
      </c>
    </row>
    <row r="703" spans="1:4" x14ac:dyDescent="0.35">
      <c r="A703" t="s">
        <v>28</v>
      </c>
      <c r="B703" t="s">
        <v>105</v>
      </c>
      <c r="C703">
        <v>492.05265000000003</v>
      </c>
      <c r="D703">
        <v>1218.58268</v>
      </c>
    </row>
    <row r="704" spans="1:4" x14ac:dyDescent="0.35">
      <c r="A704" t="s">
        <v>28</v>
      </c>
      <c r="B704" t="s">
        <v>109</v>
      </c>
      <c r="C704">
        <v>2006.17812</v>
      </c>
      <c r="D704">
        <v>4516.9690099999998</v>
      </c>
    </row>
    <row r="705" spans="1:4" x14ac:dyDescent="0.35">
      <c r="A705" t="s">
        <v>28</v>
      </c>
      <c r="B705" t="s">
        <v>97</v>
      </c>
      <c r="C705">
        <v>625.25852999999995</v>
      </c>
      <c r="D705">
        <v>1696.5334700000001</v>
      </c>
    </row>
    <row r="706" spans="1:4" x14ac:dyDescent="0.35">
      <c r="A706" t="s">
        <v>28</v>
      </c>
      <c r="B706" t="s">
        <v>120</v>
      </c>
      <c r="C706">
        <v>530.08335</v>
      </c>
      <c r="D706">
        <v>1424.9303600000001</v>
      </c>
    </row>
    <row r="707" spans="1:4" x14ac:dyDescent="0.35">
      <c r="A707" t="s">
        <v>28</v>
      </c>
      <c r="B707" t="s">
        <v>110</v>
      </c>
      <c r="C707">
        <v>791.55056999999999</v>
      </c>
      <c r="D707">
        <v>2212.9558900000002</v>
      </c>
    </row>
    <row r="708" spans="1:4" x14ac:dyDescent="0.35">
      <c r="A708" t="s">
        <v>28</v>
      </c>
      <c r="B708" t="s">
        <v>115</v>
      </c>
      <c r="C708">
        <v>1168.8566900000001</v>
      </c>
      <c r="D708">
        <v>2804.60356</v>
      </c>
    </row>
    <row r="709" spans="1:4" x14ac:dyDescent="0.35">
      <c r="A709" t="s">
        <v>28</v>
      </c>
      <c r="B709" t="s">
        <v>42</v>
      </c>
      <c r="C709">
        <v>985.06475999999998</v>
      </c>
      <c r="D709">
        <v>2884.55978</v>
      </c>
    </row>
    <row r="710" spans="1:4" x14ac:dyDescent="0.35">
      <c r="A710" t="s">
        <v>28</v>
      </c>
      <c r="B710" t="s">
        <v>58</v>
      </c>
      <c r="C710">
        <v>416.05160999999998</v>
      </c>
      <c r="D710">
        <v>1751.2993300000001</v>
      </c>
    </row>
    <row r="711" spans="1:4" x14ac:dyDescent="0.35">
      <c r="A711" t="s">
        <v>28</v>
      </c>
      <c r="B711" t="s">
        <v>121</v>
      </c>
      <c r="C711">
        <v>1300.6412499999999</v>
      </c>
      <c r="D711">
        <v>2396.33356</v>
      </c>
    </row>
    <row r="712" spans="1:4" x14ac:dyDescent="0.35">
      <c r="A712" t="s">
        <v>28</v>
      </c>
      <c r="B712" t="s">
        <v>81</v>
      </c>
      <c r="C712">
        <v>684.56179999999995</v>
      </c>
      <c r="D712">
        <v>1646.3333299999999</v>
      </c>
    </row>
    <row r="713" spans="1:4" x14ac:dyDescent="0.35">
      <c r="A713" t="s">
        <v>28</v>
      </c>
      <c r="B713" t="s">
        <v>57</v>
      </c>
      <c r="C713">
        <v>977.33308999999997</v>
      </c>
      <c r="D713">
        <v>2165.8114</v>
      </c>
    </row>
    <row r="714" spans="1:4" x14ac:dyDescent="0.35">
      <c r="A714" t="s">
        <v>28</v>
      </c>
      <c r="B714" t="s">
        <v>1</v>
      </c>
      <c r="C714">
        <v>365.48009000000002</v>
      </c>
      <c r="D714">
        <v>789.94659999999999</v>
      </c>
    </row>
    <row r="715" spans="1:4" x14ac:dyDescent="0.35">
      <c r="A715" t="s">
        <v>28</v>
      </c>
      <c r="B715" t="s">
        <v>49</v>
      </c>
      <c r="C715">
        <v>810.49302999999998</v>
      </c>
      <c r="D715">
        <v>1600.7815900000001</v>
      </c>
    </row>
    <row r="716" spans="1:4" x14ac:dyDescent="0.35">
      <c r="A716" t="s">
        <v>28</v>
      </c>
      <c r="B716" t="s">
        <v>130</v>
      </c>
      <c r="C716">
        <v>737.70370000000003</v>
      </c>
      <c r="D716">
        <v>1646.3799300000001</v>
      </c>
    </row>
    <row r="717" spans="1:4" x14ac:dyDescent="0.35">
      <c r="A717" t="s">
        <v>28</v>
      </c>
      <c r="B717" t="s">
        <v>106</v>
      </c>
      <c r="C717">
        <v>2490.2554599999999</v>
      </c>
      <c r="D717">
        <v>4265.66</v>
      </c>
    </row>
    <row r="718" spans="1:4" x14ac:dyDescent="0.35">
      <c r="A718" t="s">
        <v>28</v>
      </c>
      <c r="B718" t="s">
        <v>133</v>
      </c>
      <c r="C718">
        <v>1010.39644</v>
      </c>
      <c r="D718">
        <v>1967.7665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Best_Trusts</vt:lpstr>
      <vt:lpstr>Figure 1</vt:lpstr>
      <vt:lpstr>National Delay length</vt:lpstr>
      <vt:lpstr>Figure 2</vt:lpstr>
      <vt:lpstr>Figure 3</vt:lpstr>
      <vt:lpstr>Figure 4</vt:lpstr>
      <vt:lpstr>Figure 4b</vt:lpstr>
      <vt:lpstr>Figure 5</vt:lpstr>
      <vt:lpstr>Figure 6</vt:lpstr>
      <vt:lpstr>Figure 7</vt:lpstr>
      <vt:lpstr>Figure 7b</vt:lpstr>
      <vt:lpstr>Most Improved Consistency</vt:lpstr>
      <vt:lpstr>All trusts staffing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</dc:creator>
  <cp:lastModifiedBy>George Stevenson</cp:lastModifiedBy>
  <dcterms:created xsi:type="dcterms:W3CDTF">2025-11-16T13:23:02Z</dcterms:created>
  <dcterms:modified xsi:type="dcterms:W3CDTF">2025-11-16T15:48:56Z</dcterms:modified>
</cp:coreProperties>
</file>