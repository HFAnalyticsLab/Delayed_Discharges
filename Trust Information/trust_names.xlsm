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4.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925" codeName="{8C4F1C90-05EB-6A55-5F09-09C24B55AC0B}"/>
  <workbookPr codeName="ThisWorkbook" defaultThemeVersion="124226"/>
  <mc:AlternateContent xmlns:mc="http://schemas.openxmlformats.org/markup-compatibility/2006">
    <mc:Choice Requires="x15">
      <x15ac:absPath xmlns:x15ac="http://schemas.microsoft.com/office/spreadsheetml/2010/11/ac" url="https://thehealthfoundation98-my.sharepoint.com/personal/george_stevenson_health_org_uk/Documents/Documents/RAD/Delayed Discharges/Delayed_Discharges/"/>
    </mc:Choice>
  </mc:AlternateContent>
  <xr:revisionPtr revIDLastSave="0" documentId="8_{BB6FA4C1-3D07-4B43-8693-3A0DD01D9038}" xr6:coauthVersionLast="47" xr6:coauthVersionMax="47" xr10:uidLastSave="{00000000-0000-0000-0000-000000000000}"/>
  <bookViews>
    <workbookView xWindow="-110" yWindow="-110" windowWidth="19420" windowHeight="11500" xr2:uid="{00000000-000D-0000-FFFF-FFFF00000000}"/>
  </bookViews>
  <sheets>
    <sheet name="Notes" sheetId="1" r:id="rId1"/>
    <sheet name="Summary" sheetId="2" r:id="rId2"/>
    <sheet name="Region (Local Office)" sheetId="3" r:id="rId3"/>
    <sheet name="Trusts" sheetId="4" r:id="rId4"/>
    <sheet name="Sites" sheetId="5" r:id="rId5"/>
    <sheet name="BS" sheetId="6" state="hidden" r:id="rId6"/>
  </sheets>
  <definedNames>
    <definedName name="_xlnm._FilterDatabase" localSheetId="5" hidden="1">BS!$U$1:$Y$242</definedName>
    <definedName name="_xlnm._FilterDatabase" localSheetId="2" hidden="1">'Region (Local Office)'!$A$6:$M$20</definedName>
    <definedName name="_xlnm._FilterDatabase" localSheetId="4" hidden="1">Sites!$A$6:$P$247</definedName>
    <definedName name="_xlnm._FilterDatabase" localSheetId="1" hidden="1">Summary!$A$5:$O$10</definedName>
    <definedName name="_xlnm._FilterDatabase" localSheetId="3" hidden="1">Trusts!$A$6:$U$146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 i="5" l="1"/>
  <c r="O6" i="5"/>
  <c r="N6" i="5"/>
  <c r="M6" i="5"/>
  <c r="L6" i="5"/>
  <c r="K6" i="5"/>
  <c r="G6" i="5"/>
  <c r="F6" i="5"/>
  <c r="H6" i="5" s="1"/>
  <c r="U6" i="4"/>
  <c r="T6" i="4"/>
  <c r="S6" i="4"/>
  <c r="R6" i="4"/>
  <c r="Q6" i="4"/>
  <c r="P6" i="4"/>
  <c r="O6" i="4"/>
  <c r="N6" i="4"/>
  <c r="M6" i="4"/>
  <c r="L6" i="4"/>
  <c r="K6" i="4"/>
  <c r="J6" i="4"/>
  <c r="I6" i="4"/>
  <c r="E6" i="4"/>
  <c r="D6" i="4"/>
  <c r="G6" i="4" s="1"/>
  <c r="M6" i="3"/>
  <c r="L6" i="3"/>
  <c r="K6" i="3"/>
  <c r="J6" i="3"/>
  <c r="I6" i="3"/>
  <c r="H6" i="3"/>
  <c r="D6" i="3"/>
  <c r="C6" i="3"/>
  <c r="E6" i="3" s="1"/>
  <c r="G6" i="3" l="1"/>
  <c r="F6" i="3"/>
  <c r="H6" i="4"/>
  <c r="J6" i="5"/>
  <c r="I6" i="5"/>
  <c r="F6" i="4"/>
</calcChain>
</file>

<file path=xl/sharedStrings.xml><?xml version="1.0" encoding="utf-8"?>
<sst xmlns="http://schemas.openxmlformats.org/spreadsheetml/2006/main" count="4146" uniqueCount="833">
  <si>
    <t>A&amp;E Friends and Family Test (FFT) data - July 2019</t>
  </si>
  <si>
    <t xml:space="preserve">  Show data for:</t>
  </si>
  <si>
    <t>FFT</t>
  </si>
  <si>
    <t>Number of organisations submitting</t>
  </si>
  <si>
    <t>Total responses to date</t>
  </si>
  <si>
    <t>Responses</t>
  </si>
  <si>
    <t>Response Rate</t>
  </si>
  <si>
    <t>Score (% recommend)</t>
  </si>
  <si>
    <t>Score (% not recommend)</t>
  </si>
  <si>
    <t>A&amp;E Total</t>
  </si>
  <si>
    <t>Acute Type 1&amp;2</t>
  </si>
  <si>
    <t>NA</t>
  </si>
  <si>
    <t>WiCs &amp; MIUs</t>
  </si>
  <si>
    <t>Region (LO) Code</t>
  </si>
  <si>
    <t>Region (Local Office)</t>
  </si>
  <si>
    <t>Total Responses</t>
  </si>
  <si>
    <t>Total Eligible</t>
  </si>
  <si>
    <t>Percentage Recommended</t>
  </si>
  <si>
    <t>Percentage Not  Recommended</t>
  </si>
  <si>
    <t>Breakdown of Responses</t>
  </si>
  <si>
    <t>Extremely Likely</t>
  </si>
  <si>
    <t>Likely</t>
  </si>
  <si>
    <t>Neither</t>
  </si>
  <si>
    <t>Unlikely</t>
  </si>
  <si>
    <t>Extremely Unlikely</t>
  </si>
  <si>
    <t>Don't Know</t>
  </si>
  <si>
    <t>England</t>
  </si>
  <si>
    <t>Selection (excluding suppressed data)</t>
  </si>
  <si>
    <t>Q72</t>
  </si>
  <si>
    <t>NHS England Yorkshire &amp; Humber</t>
  </si>
  <si>
    <t>Q74</t>
  </si>
  <si>
    <t>NHS England Cumbria &amp; North East</t>
  </si>
  <si>
    <t>Q75</t>
  </si>
  <si>
    <t>NHS England Cheshire &amp; Merseyside</t>
  </si>
  <si>
    <t>Q83</t>
  </si>
  <si>
    <t>NHS England Greater Manchester</t>
  </si>
  <si>
    <t>Q84</t>
  </si>
  <si>
    <t>NHS England Lancashire</t>
  </si>
  <si>
    <t>Q76</t>
  </si>
  <si>
    <t>NHS England North Midlands</t>
  </si>
  <si>
    <t>Q77</t>
  </si>
  <si>
    <t>NHS England West Midlands</t>
  </si>
  <si>
    <t>Q78</t>
  </si>
  <si>
    <t>NHS England Central Midlands</t>
  </si>
  <si>
    <t>Q79</t>
  </si>
  <si>
    <t>NHS England East</t>
  </si>
  <si>
    <t>Q85</t>
  </si>
  <si>
    <t>NHS England South West (South West South)</t>
  </si>
  <si>
    <t>Q86</t>
  </si>
  <si>
    <t>NHS England South West (South West North)</t>
  </si>
  <si>
    <t>Q87</t>
  </si>
  <si>
    <t>NHS England South East (Hampshire, Isle Of Wight &amp; Thames Valley)</t>
  </si>
  <si>
    <t>Q88</t>
  </si>
  <si>
    <t>NHS England South East (Kent, Surrey &amp; Sussex)</t>
  </si>
  <si>
    <t>Q71</t>
  </si>
  <si>
    <t>NHS England London</t>
  </si>
  <si>
    <t>Trust Code</t>
  </si>
  <si>
    <t>Trust Name</t>
  </si>
  <si>
    <t>Mode of Collection</t>
  </si>
  <si>
    <t>SMS/Text / Smartphone App</t>
  </si>
  <si>
    <t>Electronic tablet/kiosk at point of discharge</t>
  </si>
  <si>
    <t>Paper / postcard at point of discharge</t>
  </si>
  <si>
    <t>Paper survey sent to the patients home</t>
  </si>
  <si>
    <t>Telephone survey once patient is home</t>
  </si>
  <si>
    <t>Online survey once patient is home</t>
  </si>
  <si>
    <t>Other</t>
  </si>
  <si>
    <t>RF4</t>
  </si>
  <si>
    <t>BARKING, HAVERING AND REDBRIDGE UNIVERSITY HOSPITALS NHS TRUST</t>
  </si>
  <si>
    <t>R1H</t>
  </si>
  <si>
    <t>BARTS HEALTH NHS TRUST</t>
  </si>
  <si>
    <t>RQM</t>
  </si>
  <si>
    <t>CHELSEA AND WESTMINSTER HOSPITAL NHS FOUNDATION TRUST</t>
  </si>
  <si>
    <t>RJ6</t>
  </si>
  <si>
    <t>CROYDON HEALTH SERVICES NHS TRUST</t>
  </si>
  <si>
    <t>RVR</t>
  </si>
  <si>
    <t>EPSOM AND ST HELIER UNIVERSITY HOSPITALS NHS TRUST</t>
  </si>
  <si>
    <t>RJ1</t>
  </si>
  <si>
    <t>GUY'S AND ST THOMAS' NHS FOUNDATION TRUST</t>
  </si>
  <si>
    <t>RQX</t>
  </si>
  <si>
    <t>HOMERTON UNIVERSITY HOSPITAL NHS FOUNDATION TRUST</t>
  </si>
  <si>
    <t>RYJ</t>
  </si>
  <si>
    <t>IMPERIAL COLLEGE HEALTHCARE NHS TRUST</t>
  </si>
  <si>
    <t>RJZ</t>
  </si>
  <si>
    <t>KING'S COLLEGE HOSPITAL NHS FOUNDATION TRUST</t>
  </si>
  <si>
    <t>RAX</t>
  </si>
  <si>
    <t>KINGSTON HOSPITAL NHS FOUNDATION TRUST</t>
  </si>
  <si>
    <t>RJ2</t>
  </si>
  <si>
    <t>LEWISHAM AND GREENWICH NHS TRUST</t>
  </si>
  <si>
    <t>R1K</t>
  </si>
  <si>
    <t>LONDON NORTH WEST UNIVERSITY HEALTHCARE NHS TRUST</t>
  </si>
  <si>
    <t>RP6</t>
  </si>
  <si>
    <t>MOORFIELDS EYE HOSPITAL NHS FOUNDATION TRUST</t>
  </si>
  <si>
    <t>RAP</t>
  </si>
  <si>
    <t>NORTH MIDDLESEX UNIVERSITY HOSPITAL NHS TRUST</t>
  </si>
  <si>
    <t>RAL</t>
  </si>
  <si>
    <t>ROYAL FREE LONDON NHS FOUNDATION TRUST</t>
  </si>
  <si>
    <t>RJ7</t>
  </si>
  <si>
    <t>ST GEORGE'S UNIVERSITY HOSPITALS NHS FOUNDATION TRUST</t>
  </si>
  <si>
    <t>RAS</t>
  </si>
  <si>
    <t>THE HILLINGDON HOSPITALS NHS FOUNDATION TRUST</t>
  </si>
  <si>
    <t>RRV</t>
  </si>
  <si>
    <t>UNIVERSITY COLLEGE LONDON HOSPITALS NHS FOUNDATION TRUST</t>
  </si>
  <si>
    <t>RKE</t>
  </si>
  <si>
    <t>WHITTINGTON HEALTH NHS TRUST</t>
  </si>
  <si>
    <t>RCF</t>
  </si>
  <si>
    <t>AIREDALE NHS FOUNDATION TRUST</t>
  </si>
  <si>
    <t>RFF</t>
  </si>
  <si>
    <t>BARNSLEY HOSPITAL NHS FOUNDATION TRUST</t>
  </si>
  <si>
    <t>RAE</t>
  </si>
  <si>
    <t>BRADFORD TEACHING HOSPITALS NHS FOUNDATION TRUST</t>
  </si>
  <si>
    <t>RWY</t>
  </si>
  <si>
    <t>CALDERDALE AND HUDDERSFIELD NHS FOUNDATION TRUST</t>
  </si>
  <si>
    <t>RP5</t>
  </si>
  <si>
    <t>DONCASTER AND BASSETLAW TEACHING HOSPITALS NHS FOUNDATION TRUST</t>
  </si>
  <si>
    <t>RCD</t>
  </si>
  <si>
    <t>HARROGATE AND DISTRICT NHS FOUNDATION TRUST</t>
  </si>
  <si>
    <t>RWA</t>
  </si>
  <si>
    <t>HULL UNIVERSITY TEACHING HOSPITALS NHS TRUST</t>
  </si>
  <si>
    <t>RR8</t>
  </si>
  <si>
    <t>LEEDS TEACHING HOSPITALS NHS TRUST</t>
  </si>
  <si>
    <t>RXF</t>
  </si>
  <si>
    <t>MID YORKSHIRE HOSPITALS NHS TRUST</t>
  </si>
  <si>
    <t>RJL</t>
  </si>
  <si>
    <t>NORTHERN LINCOLNSHIRE AND GOOLE NHS FOUNDATION TRUST</t>
  </si>
  <si>
    <t>RCU</t>
  </si>
  <si>
    <t>SHEFFIELD CHILDREN'S NHS FOUNDATION TRUST</t>
  </si>
  <si>
    <t>RHQ</t>
  </si>
  <si>
    <t>SHEFFIELD TEACHING HOSPITALS NHS FOUNDATION TRUST</t>
  </si>
  <si>
    <t>RFR</t>
  </si>
  <si>
    <t>THE ROTHERHAM NHS FOUNDATION TRUST</t>
  </si>
  <si>
    <t>RCB</t>
  </si>
  <si>
    <t>YORK TEACHING HOSPITAL NHS FOUNDATION TRUST</t>
  </si>
  <si>
    <t>RXP</t>
  </si>
  <si>
    <t>COUNTY DURHAM AND DARLINGTON NHS FOUNDATION TRUST</t>
  </si>
  <si>
    <t>RR7</t>
  </si>
  <si>
    <t>GATESHEAD HEALTH NHS FOUNDATION TRUST</t>
  </si>
  <si>
    <t>RNL</t>
  </si>
  <si>
    <t>NORTH CUMBRIA UNIVERSITY HOSPITALS NHS TRUST</t>
  </si>
  <si>
    <t>RVW</t>
  </si>
  <si>
    <t>NORTH TEES AND HARTLEPOOL NHS FOUNDATION TRUST</t>
  </si>
  <si>
    <t>RTF</t>
  </si>
  <si>
    <t>NORTHUMBRIA HEALTHCARE NHS FOUNDATION TRUST</t>
  </si>
  <si>
    <t>R0B</t>
  </si>
  <si>
    <t>SOUTH TYNESIDE AND SUNDERLAND NHS FOUNDATION TRUST</t>
  </si>
  <si>
    <t>RTD</t>
  </si>
  <si>
    <t>THE NEWCASTLE UPON TYNE HOSPITALS NHS FOUNDATION TRUST</t>
  </si>
  <si>
    <t>REM</t>
  </si>
  <si>
    <t>AINTREE UNIVERSITY HOSPITAL NHS FOUNDATION TRUST</t>
  </si>
  <si>
    <t>RBS</t>
  </si>
  <si>
    <t>ALDER HEY CHILDREN'S NHS FOUNDATION TRUST</t>
  </si>
  <si>
    <t>RJR</t>
  </si>
  <si>
    <t>COUNTESS OF CHESTER HOSPITAL NHS FOUNDATION TRUST</t>
  </si>
  <si>
    <t>RJN</t>
  </si>
  <si>
    <t>EAST CHESHIRE NHS TRUST</t>
  </si>
  <si>
    <t>REP</t>
  </si>
  <si>
    <t>LIVERPOOL WOMEN'S NHS FOUNDATION TRUST</t>
  </si>
  <si>
    <t>RBT</t>
  </si>
  <si>
    <t>MID CHESHIRE HOSPITALS NHS FOUNDATION TRUST</t>
  </si>
  <si>
    <t>RQ6</t>
  </si>
  <si>
    <t>ROYAL LIVERPOOL AND BROADGREEN UNIVERSITY HOSPITALS NHS TRUST</t>
  </si>
  <si>
    <t>RVY</t>
  </si>
  <si>
    <t>SOUTHPORT AND ORMSKIRK HOSPITAL NHS TRUST</t>
  </si>
  <si>
    <t>RBN</t>
  </si>
  <si>
    <t>ST HELENS AND KNOWSLEY TEACHING HOSPITALS NHS TRUST</t>
  </si>
  <si>
    <t>RWW</t>
  </si>
  <si>
    <t>WARRINGTON AND HALTON HOSPITALS NHS FOUNDATION TRUST</t>
  </si>
  <si>
    <t>RBL</t>
  </si>
  <si>
    <t>WIRRAL UNIVERSITY TEACHING HOSPITAL NHS FOUNDATION TRUST</t>
  </si>
  <si>
    <t>RFS</t>
  </si>
  <si>
    <t>CHESTERFIELD ROYAL HOSPITAL NHS FOUNDATION TRUST</t>
  </si>
  <si>
    <t>RX1</t>
  </si>
  <si>
    <t>NOTTINGHAM UNIVERSITY HOSPITALS NHS TRUST</t>
  </si>
  <si>
    <t>RK5</t>
  </si>
  <si>
    <t>SHERWOOD FOREST HOSPITALS NHS FOUNDATION TRUST</t>
  </si>
  <si>
    <t>RXW</t>
  </si>
  <si>
    <t>SHREWSBURY AND TELFORD HOSPITAL NHS TRUST</t>
  </si>
  <si>
    <t>RTG</t>
  </si>
  <si>
    <t>UNIVERSITY HOSPITALS OF DERBY AND BURTON NHS FOUNDATION TRUST</t>
  </si>
  <si>
    <t>RJE</t>
  </si>
  <si>
    <t>UNIVERSITY HOSPITALS OF NORTH MIDLANDS NHS TRUST</t>
  </si>
  <si>
    <t>RQ3</t>
  </si>
  <si>
    <t>BIRMINGHAM WOMEN'S AND CHILDREN'S NHS FOUNDATION TRUST</t>
  </si>
  <si>
    <t>RLT</t>
  </si>
  <si>
    <t>GEORGE ELIOT HOSPITAL NHS TRUST</t>
  </si>
  <si>
    <t>RXK</t>
  </si>
  <si>
    <t>SANDWELL AND WEST BIRMINGHAM HOSPITALS NHS TRUST</t>
  </si>
  <si>
    <t>RJC</t>
  </si>
  <si>
    <t>SOUTH WARWICKSHIRE NHS FOUNDATION TRUST</t>
  </si>
  <si>
    <t>RNA</t>
  </si>
  <si>
    <t>THE DUDLEY GROUP NHS FOUNDATION TRUST</t>
  </si>
  <si>
    <t>RL4</t>
  </si>
  <si>
    <t>THE ROYAL WOLVERHAMPTON NHS TRUST</t>
  </si>
  <si>
    <t>RRK</t>
  </si>
  <si>
    <t>UNIVERSITY HOSPITALS BIRMINGHAM NHS FOUNDATION TRUST</t>
  </si>
  <si>
    <t>RKB</t>
  </si>
  <si>
    <t>UNIVERSITY HOSPITALS COVENTRY AND WARWICKSHIRE NHS TRUST</t>
  </si>
  <si>
    <t>RBK</t>
  </si>
  <si>
    <t>WALSALL HEALTHCARE NHS TRUST</t>
  </si>
  <si>
    <t>RWP</t>
  </si>
  <si>
    <t>WORCESTERSHIRE ACUTE HOSPITALS NHS TRUST</t>
  </si>
  <si>
    <t>RLQ</t>
  </si>
  <si>
    <t>WYE VALLEY NHS TRUST</t>
  </si>
  <si>
    <t>RNQ</t>
  </si>
  <si>
    <t>KETTERING GENERAL HOSPITAL NHS FOUNDATION TRUST</t>
  </si>
  <si>
    <t>RNS</t>
  </si>
  <si>
    <t>NORTHAMPTON GENERAL HOSPITAL NHS TRUST</t>
  </si>
  <si>
    <t>RWD</t>
  </si>
  <si>
    <t>UNITED LINCOLNSHIRE HOSPITALS NHS TRUST</t>
  </si>
  <si>
    <t>RWE</t>
  </si>
  <si>
    <t>UNIVERSITY HOSPITALS OF LEICESTER NHS TRUST</t>
  </si>
  <si>
    <t>RDD</t>
  </si>
  <si>
    <t>BASILDON AND THURROCK UNIVERSITY HOSPITALS NHS FOUNDATION TRUST</t>
  </si>
  <si>
    <t>RC1</t>
  </si>
  <si>
    <t>BEDFORD HOSPITAL NHS TRUST</t>
  </si>
  <si>
    <t>RGT</t>
  </si>
  <si>
    <t>CAMBRIDGE UNIVERSITY HOSPITALS NHS FOUNDATION TRUST</t>
  </si>
  <si>
    <t>RWH</t>
  </si>
  <si>
    <t>EAST AND NORTH HERTFORDSHIRE NHS TRUST</t>
  </si>
  <si>
    <t>RDE</t>
  </si>
  <si>
    <t>EAST SUFFOLK AND NORTH ESSEX NHS FOUNDATION TRUST</t>
  </si>
  <si>
    <t>RGP</t>
  </si>
  <si>
    <t>JAMES PAGET UNIVERSITY HOSPITALS NHS FOUNDATION TRUST</t>
  </si>
  <si>
    <t>RC9</t>
  </si>
  <si>
    <t>LUTON AND DUNSTABLE UNIVERSITY HOSPITAL NHS FOUNDATION TRUST</t>
  </si>
  <si>
    <t>RQ8</t>
  </si>
  <si>
    <t>MID ESSEX HOSPITAL SERVICES NHS TRUST</t>
  </si>
  <si>
    <t>RD8</t>
  </si>
  <si>
    <t>MILTON KEYNES UNIVERSITY HOSPITAL NHS FOUNDATION TRUST</t>
  </si>
  <si>
    <t>RM1</t>
  </si>
  <si>
    <t>NORFOLK AND NORWICH UNIVERSITY HOSPITALS NHS FOUNDATION TRUST</t>
  </si>
  <si>
    <t>RAJ</t>
  </si>
  <si>
    <t>SOUTHEND UNIVERSITY HOSPITAL NHS FOUNDATION TRUST</t>
  </si>
  <si>
    <t>RQW</t>
  </si>
  <si>
    <t>THE PRINCESS ALEXANDRA HOSPITAL NHS TRUST</t>
  </si>
  <si>
    <t>RCX</t>
  </si>
  <si>
    <t>THE QUEEN ELIZABETH HOSPITAL, KING'S LYNN, NHS FOUNDATION TRUST</t>
  </si>
  <si>
    <t>RWG</t>
  </si>
  <si>
    <t>WEST HERTFORDSHIRE HOSPITALS NHS TRUST</t>
  </si>
  <si>
    <t>RGR</t>
  </si>
  <si>
    <t>WEST SUFFOLK NHS FOUNDATION TRUST</t>
  </si>
  <si>
    <t>RMC</t>
  </si>
  <si>
    <t>BOLTON NHS FOUNDATION TRUST</t>
  </si>
  <si>
    <t>R0A</t>
  </si>
  <si>
    <t>MANCHESTER UNIVERSITY NHS FOUNDATION TRUST</t>
  </si>
  <si>
    <t>RW6</t>
  </si>
  <si>
    <t>PENNINE ACUTE HOSPITALS NHS TRUST</t>
  </si>
  <si>
    <t>RM3</t>
  </si>
  <si>
    <t>SALFORD ROYAL NHS FOUNDATION TRUST</t>
  </si>
  <si>
    <t>RWJ</t>
  </si>
  <si>
    <t>STOCKPORT NHS FOUNDATION TRUST</t>
  </si>
  <si>
    <t>RMP</t>
  </si>
  <si>
    <t>TAMESIDE AND GLOSSOP INTEGRATED CARE NHS FOUNDATION TRUST</t>
  </si>
  <si>
    <t>RRF</t>
  </si>
  <si>
    <t>WRIGHTINGTON, WIGAN AND LEIGH NHS FOUNDATION TRUST</t>
  </si>
  <si>
    <t>RXL</t>
  </si>
  <si>
    <t>BLACKPOOL TEACHING HOSPITALS NHS FOUNDATION TRUST</t>
  </si>
  <si>
    <t>RXR</t>
  </si>
  <si>
    <t>EAST LANCASHIRE HOSPITALS NHS TRUST</t>
  </si>
  <si>
    <t>RXN</t>
  </si>
  <si>
    <t>LANCASHIRE TEACHING HOSPITALS NHS FOUNDATION TRUST</t>
  </si>
  <si>
    <t>RTX</t>
  </si>
  <si>
    <t>UNIVERSITY HOSPITALS OF MORECAMBE BAY NHS FOUNDATION TRUST</t>
  </si>
  <si>
    <t>RBD</t>
  </si>
  <si>
    <t>DORSET COUNTY HOSPITAL NHS FOUNDATION TRUST</t>
  </si>
  <si>
    <t>RBZ</t>
  </si>
  <si>
    <t>NORTHERN DEVON HEALTHCARE NHS TRUST</t>
  </si>
  <si>
    <t>*</t>
  </si>
  <si>
    <t>RD3</t>
  </si>
  <si>
    <t>POOLE HOSPITAL NHS FOUNDATION TRUST</t>
  </si>
  <si>
    <t>REF</t>
  </si>
  <si>
    <t>ROYAL CORNWALL HOSPITALS NHS TRUST</t>
  </si>
  <si>
    <t>RH8</t>
  </si>
  <si>
    <t>ROYAL DEVON AND EXETER NHS FOUNDATION TRUST</t>
  </si>
  <si>
    <t>RBA</t>
  </si>
  <si>
    <t>TAUNTON AND SOMERSET NHS FOUNDATION TRUST</t>
  </si>
  <si>
    <t>RDZ</t>
  </si>
  <si>
    <t>THE ROYAL BOURNEMOUTH AND CHRISTCHURCH HOSPITALS NHS FOUNDATION TRUST</t>
  </si>
  <si>
    <t>RA9</t>
  </si>
  <si>
    <t>TORBAY AND SOUTH DEVON NHS FOUNDATION TRUST</t>
  </si>
  <si>
    <t>RK9</t>
  </si>
  <si>
    <t>UNIVERSITY HOSPITALS PLYMOUTH NHS TRUST</t>
  </si>
  <si>
    <t>RA4</t>
  </si>
  <si>
    <t>YEOVIL DISTRICT HOSPITAL NHS FOUNDATION TRUST</t>
  </si>
  <si>
    <t>RTE</t>
  </si>
  <si>
    <t>GLOUCESTERSHIRE HOSPITALS NHS FOUNDATION TRUST</t>
  </si>
  <si>
    <t>RN3</t>
  </si>
  <si>
    <t>GREAT WESTERN HOSPITALS NHS FOUNDATION TRUST</t>
  </si>
  <si>
    <t>RVJ</t>
  </si>
  <si>
    <t>NORTH BRISTOL NHS TRUST</t>
  </si>
  <si>
    <t>RD1</t>
  </si>
  <si>
    <t>ROYAL UNITED HOSPITALS BATH NHS FOUNDATION TRUST</t>
  </si>
  <si>
    <t>RNZ</t>
  </si>
  <si>
    <t>SALISBURY NHS FOUNDATION TRUST</t>
  </si>
  <si>
    <t>RA7</t>
  </si>
  <si>
    <t>UNIVERSITY HOSPITALS BRISTOL NHS FOUNDATION TRUST</t>
  </si>
  <si>
    <t>RA3</t>
  </si>
  <si>
    <t>WESTON AREA HEALTH NHS TRUST</t>
  </si>
  <si>
    <t>RXQ</t>
  </si>
  <si>
    <t>BUCKINGHAMSHIRE HEALTHCARE NHS TRUST</t>
  </si>
  <si>
    <t>RDU</t>
  </si>
  <si>
    <t>FRIMLEY HEALTH NHS FOUNDATION TRUST</t>
  </si>
  <si>
    <t>RN5</t>
  </si>
  <si>
    <t>HAMPSHIRE HOSPITALS NHS FOUNDATION TRUST</t>
  </si>
  <si>
    <t>R1F</t>
  </si>
  <si>
    <t>ISLE OF WIGHT NHS TRUST</t>
  </si>
  <si>
    <t>RTH</t>
  </si>
  <si>
    <t>OXFORD UNIVERSITY HOSPITALS NHS FOUNDATION TRUST</t>
  </si>
  <si>
    <t>RHU</t>
  </si>
  <si>
    <t>PORTSMOUTH HOSPITALS NHS TRUST</t>
  </si>
  <si>
    <t>RHW</t>
  </si>
  <si>
    <t>ROYAL BERKSHIRE NHS FOUNDATION TRUST</t>
  </si>
  <si>
    <t>RHM</t>
  </si>
  <si>
    <t>UNIVERSITY HOSPITAL SOUTHAMPTON NHS FOUNDATION TRUST</t>
  </si>
  <si>
    <t>RTK</t>
  </si>
  <si>
    <t>ASHFORD AND ST PETER'S HOSPITALS NHS FOUNDATION TRUST</t>
  </si>
  <si>
    <t>RXH</t>
  </si>
  <si>
    <t>BRIGHTON AND SUSSEX UNIVERSITY HOSPITALS NHS TRUST</t>
  </si>
  <si>
    <t>RN7</t>
  </si>
  <si>
    <t>DARTFORD AND GRAVESHAM NHS TRUST</t>
  </si>
  <si>
    <t>RVV</t>
  </si>
  <si>
    <t>EAST KENT HOSPITALS UNIVERSITY NHS FOUNDATION TRUST</t>
  </si>
  <si>
    <t>RXC</t>
  </si>
  <si>
    <t>EAST SUSSEX HEALTHCARE NHS TRUST</t>
  </si>
  <si>
    <t>RWF</t>
  </si>
  <si>
    <t>MAIDSTONE AND TUNBRIDGE WELLS NHS TRUST</t>
  </si>
  <si>
    <t>RPA</t>
  </si>
  <si>
    <t>MEDWAY NHS FOUNDATION TRUST</t>
  </si>
  <si>
    <t>RPC</t>
  </si>
  <si>
    <t>QUEEN VICTORIA HOSPITAL NHS FOUNDATION TRUST</t>
  </si>
  <si>
    <t>RA2</t>
  </si>
  <si>
    <t>ROYAL SURREY COUNTY HOSPITAL NHS FOUNDATION TRUST</t>
  </si>
  <si>
    <t>RTP</t>
  </si>
  <si>
    <t>SURREY AND SUSSEX HEALTHCARE NHS TRUST</t>
  </si>
  <si>
    <t>RYR</t>
  </si>
  <si>
    <t>WESTERN SUSSEX HOSPITALS NHS FOUNDATION TRUST</t>
  </si>
  <si>
    <t>Site Code</t>
  </si>
  <si>
    <t>Site Name</t>
  </si>
  <si>
    <t>RF4DG</t>
  </si>
  <si>
    <t>King George Hospital - RF4DG</t>
  </si>
  <si>
    <t>RF4QH</t>
  </si>
  <si>
    <t>Queen's Hospital - RF4QH</t>
  </si>
  <si>
    <t>R1HNH</t>
  </si>
  <si>
    <t>Newham General Hospital - R1HNH</t>
  </si>
  <si>
    <t>R1HM0</t>
  </si>
  <si>
    <t>St Bartholomew's Hospital - R1HM0</t>
  </si>
  <si>
    <t>R1H12</t>
  </si>
  <si>
    <t>The Royal London Hospital - R1H12</t>
  </si>
  <si>
    <t>R1HKH</t>
  </si>
  <si>
    <t>Whipps Cross University Hospital - R1HKH</t>
  </si>
  <si>
    <t>R1HXXX</t>
  </si>
  <si>
    <t>WiC_MIU - R1HXXX</t>
  </si>
  <si>
    <t>RQM01</t>
  </si>
  <si>
    <t>Chelsea and Westminster Hospital - RQM01</t>
  </si>
  <si>
    <t>RQM91</t>
  </si>
  <si>
    <t>West Middlesex University Hospital - RQM91</t>
  </si>
  <si>
    <t>RQMXXX</t>
  </si>
  <si>
    <t>WiC_MIU - RQMXXX</t>
  </si>
  <si>
    <t>RJ611</t>
  </si>
  <si>
    <t>Croydon University Hospital - RJ611</t>
  </si>
  <si>
    <t>RJ6XXX</t>
  </si>
  <si>
    <t>WiC_MIU - RJ6XXX</t>
  </si>
  <si>
    <t>RVR50</t>
  </si>
  <si>
    <t>Epsom Hospital - RVR50</t>
  </si>
  <si>
    <t>RVR05</t>
  </si>
  <si>
    <t>St Helier Hospital - RVR05</t>
  </si>
  <si>
    <t>RJ122</t>
  </si>
  <si>
    <t>St Thomas' Hospital - RJ122</t>
  </si>
  <si>
    <t>RJ1XXX</t>
  </si>
  <si>
    <t>WiC_MIU - RJ1XXX</t>
  </si>
  <si>
    <t>RQXM1</t>
  </si>
  <si>
    <t>Homerton University Hospital - RQXM1</t>
  </si>
  <si>
    <t>RYJ02</t>
  </si>
  <si>
    <t>Charing Cross Hospital - RYJ02</t>
  </si>
  <si>
    <t>RYJ01</t>
  </si>
  <si>
    <t>St Mary's Hospital (HQ) - RYJ01</t>
  </si>
  <si>
    <t>RYJ07</t>
  </si>
  <si>
    <t>Western Eye Hospital - RYJ07</t>
  </si>
  <si>
    <t>RYJXXX</t>
  </si>
  <si>
    <t>WiC_MIU - RYJXXX</t>
  </si>
  <si>
    <t>RJZ33</t>
  </si>
  <si>
    <t>Kings College Dental Hospital - RJZ33</t>
  </si>
  <si>
    <t>RJZ01</t>
  </si>
  <si>
    <t>King's College Hospital (Denmark Hill) - RJZ01</t>
  </si>
  <si>
    <t>RJZ30</t>
  </si>
  <si>
    <t>Princess Royal University Hospital - RJZ30</t>
  </si>
  <si>
    <t>RAX01</t>
  </si>
  <si>
    <t>Kingston Hospital - RAX01</t>
  </si>
  <si>
    <t>RAXXXX</t>
  </si>
  <si>
    <t>WiC_MIU - RAXXXX</t>
  </si>
  <si>
    <t>RJ231</t>
  </si>
  <si>
    <t>Queen Elizabeth Hospital - RJ231</t>
  </si>
  <si>
    <t>RJ224</t>
  </si>
  <si>
    <t>University Hospital Lewisham - RJ224</t>
  </si>
  <si>
    <t>R1K04</t>
  </si>
  <si>
    <t>Ealing Hospital - R1K04</t>
  </si>
  <si>
    <t>R1K01</t>
  </si>
  <si>
    <t>Northwick Park Hospital - R1K01</t>
  </si>
  <si>
    <t>R1KXXX</t>
  </si>
  <si>
    <t>WiC_MIU - R1KXXX</t>
  </si>
  <si>
    <t>RP601</t>
  </si>
  <si>
    <t>Moorfields Eye Hospital (City Road) - RP601</t>
  </si>
  <si>
    <t>RAPNM</t>
  </si>
  <si>
    <t>North Middlesex Hospital - RAPNM</t>
  </si>
  <si>
    <t>RAL26</t>
  </si>
  <si>
    <t>Barnet Hospital - RAL26</t>
  </si>
  <si>
    <t>RAL01</t>
  </si>
  <si>
    <t>Royal Free Hospital - RAL01</t>
  </si>
  <si>
    <t>RJ701</t>
  </si>
  <si>
    <t>St George's Hospital (Tooting) - RJ701</t>
  </si>
  <si>
    <t>RJ7XXX</t>
  </si>
  <si>
    <t>WiC_MIU - RJ7XXX</t>
  </si>
  <si>
    <t>RAS01</t>
  </si>
  <si>
    <t>Hillingdon Hospital - RAS01</t>
  </si>
  <si>
    <t>RAS02</t>
  </si>
  <si>
    <t>Mount Vernon Hospital Site - RAS02</t>
  </si>
  <si>
    <t>RRV03</t>
  </si>
  <si>
    <t>University College Hospital - RRV03</t>
  </si>
  <si>
    <t>RKEQ4</t>
  </si>
  <si>
    <t>The Whittington Hospital - RKEQ4</t>
  </si>
  <si>
    <t>RCF22</t>
  </si>
  <si>
    <t>Airedale General Hospital - RCF22</t>
  </si>
  <si>
    <t>RFFAA</t>
  </si>
  <si>
    <t>Barnsley Hospital NHS Foundation Trust HQ - RFFAA</t>
  </si>
  <si>
    <t>RAE01</t>
  </si>
  <si>
    <t>Bradford Royal Infirmary - RAE01</t>
  </si>
  <si>
    <t>RWY02</t>
  </si>
  <si>
    <t>Calderdale Royal Hospital - RWY02</t>
  </si>
  <si>
    <t>RWY01</t>
  </si>
  <si>
    <t>Huddersfield Royal Infirmary - RWY01</t>
  </si>
  <si>
    <t>RP5BA</t>
  </si>
  <si>
    <t>Bassetlaw Hospital - RP5BA</t>
  </si>
  <si>
    <t>RP5DR</t>
  </si>
  <si>
    <t>Doncaster Royal Infirmary - RP5DR</t>
  </si>
  <si>
    <t>RP5MM</t>
  </si>
  <si>
    <t>Montagu Hospital - RP5MM</t>
  </si>
  <si>
    <t>RCD01</t>
  </si>
  <si>
    <t>Harrogate District Hospital - RCD01</t>
  </si>
  <si>
    <t>RCD02</t>
  </si>
  <si>
    <t>Ripon and District Community Hospital - RCD02</t>
  </si>
  <si>
    <t>RWA01</t>
  </si>
  <si>
    <t>Hull Royal Infirmary - RWA01</t>
  </si>
  <si>
    <t>RR801</t>
  </si>
  <si>
    <t>Leeds General Infirmary - RR801</t>
  </si>
  <si>
    <t>RR813</t>
  </si>
  <si>
    <t>St James's University Hospital - RR813</t>
  </si>
  <si>
    <t>RXF10</t>
  </si>
  <si>
    <t>Dewsbury and District Hospital - RXF10</t>
  </si>
  <si>
    <t>RXF05</t>
  </si>
  <si>
    <t>Pinderfields General Hospital - RXF05</t>
  </si>
  <si>
    <t>RXF03</t>
  </si>
  <si>
    <t>Pontefract General Infirmary - RXF03</t>
  </si>
  <si>
    <t>RJL30</t>
  </si>
  <si>
    <t>Diana, Princess Of Wales Hospital - RJL30</t>
  </si>
  <si>
    <t>RJL32</t>
  </si>
  <si>
    <t>Scunthorpe General Hospital - RJL32</t>
  </si>
  <si>
    <t>RCUEF</t>
  </si>
  <si>
    <t>Sheffield Children's Hospital - RCUEF</t>
  </si>
  <si>
    <t>RHQNG</t>
  </si>
  <si>
    <t>Northern General Hospital - RHQNG</t>
  </si>
  <si>
    <t>RHQHH</t>
  </si>
  <si>
    <t>Royal Hallamshire Hospital - RHQHH</t>
  </si>
  <si>
    <t>RHQXXX</t>
  </si>
  <si>
    <t>WiC_MIU - RHQXXX</t>
  </si>
  <si>
    <t>RFRPA</t>
  </si>
  <si>
    <t>Rotherham District General Hospital - RFRPA</t>
  </si>
  <si>
    <t>RCBCA</t>
  </si>
  <si>
    <t>Scarborough General Hospital - RCBCA</t>
  </si>
  <si>
    <t>RCB55</t>
  </si>
  <si>
    <t>York Hospital - RCB55</t>
  </si>
  <si>
    <t>RXPDA</t>
  </si>
  <si>
    <t>Darlington Memorial Hospital - RXPDA</t>
  </si>
  <si>
    <t>RXPCP</t>
  </si>
  <si>
    <t>University Hospital Of North Durham - RXPCP</t>
  </si>
  <si>
    <t>RXPXXX</t>
  </si>
  <si>
    <t>WiC_MIU - RXPXXX</t>
  </si>
  <si>
    <t>RR7EN</t>
  </si>
  <si>
    <t>Queen Elizabeth Hospital - RR7EN</t>
  </si>
  <si>
    <t>RR7XXX</t>
  </si>
  <si>
    <t>WiC_MIU - RR7XXX</t>
  </si>
  <si>
    <t>RNLAY</t>
  </si>
  <si>
    <t>Cumberland Infirmary - RNLAY</t>
  </si>
  <si>
    <t>RNLBX</t>
  </si>
  <si>
    <t>West Cumberland Hospital - RNLBX</t>
  </si>
  <si>
    <t>RVWAE</t>
  </si>
  <si>
    <t>University Hospital Of North Tees - RVWAE</t>
  </si>
  <si>
    <t>RTF86</t>
  </si>
  <si>
    <t>The Northumbria - RTF86</t>
  </si>
  <si>
    <t>RTFXXX</t>
  </si>
  <si>
    <t>WiC_MIU - RTFXXX</t>
  </si>
  <si>
    <t>R0B0Q</t>
  </si>
  <si>
    <t>South Tyneside District Hospital - R0B0Q</t>
  </si>
  <si>
    <t>R0B0X</t>
  </si>
  <si>
    <t>Sunderland Eye Infirmary – R0B0X</t>
  </si>
  <si>
    <t>R0B01</t>
  </si>
  <si>
    <t>Sunderland Royal Hospital – R0B01</t>
  </si>
  <si>
    <t>R0BXXX</t>
  </si>
  <si>
    <t>WiC_MIU - R0BXXX</t>
  </si>
  <si>
    <t>RTD02</t>
  </si>
  <si>
    <t>The Royal Victoria Infirmary - RTD02</t>
  </si>
  <si>
    <t>REM21</t>
  </si>
  <si>
    <t>University Hospital Aintree - REM21</t>
  </si>
  <si>
    <t>RBS25</t>
  </si>
  <si>
    <t>Alder Hey Children's NHS - RBS25</t>
  </si>
  <si>
    <t>RJR05</t>
  </si>
  <si>
    <t>Countess Of Chester Hospital - RJR05</t>
  </si>
  <si>
    <t>RJN63</t>
  </si>
  <si>
    <t>Congleton War Memorial Hospital - RJN63</t>
  </si>
  <si>
    <t>RJN71</t>
  </si>
  <si>
    <t>Macclesfield District General Hospital - RJN71</t>
  </si>
  <si>
    <t>REP01</t>
  </si>
  <si>
    <t>Liverpool Womens Hospital - REP01</t>
  </si>
  <si>
    <t>RBT20</t>
  </si>
  <si>
    <t>Leighton Hospital - RBT20</t>
  </si>
  <si>
    <t>RBTXXX</t>
  </si>
  <si>
    <t>WiC_MIU - RBTXXX</t>
  </si>
  <si>
    <t>RQ617</t>
  </si>
  <si>
    <t>The Royal Liverpool University Hospital - RQ617</t>
  </si>
  <si>
    <t>RVY02</t>
  </si>
  <si>
    <t>Ormskirk and District General Hospital - RVY02</t>
  </si>
  <si>
    <t>RVY01</t>
  </si>
  <si>
    <t>Southport and Formby District General Hospital - RVY01</t>
  </si>
  <si>
    <t>RBN01</t>
  </si>
  <si>
    <t>Whiston Hospital - RBN01</t>
  </si>
  <si>
    <t>RWWHG</t>
  </si>
  <si>
    <t>Halton Hospital - RWWHG</t>
  </si>
  <si>
    <t>RWWWH</t>
  </si>
  <si>
    <t>Warrington Hospital - RWWWH</t>
  </si>
  <si>
    <t>RBL14</t>
  </si>
  <si>
    <t>Arrowe Park Hospital - RBL14</t>
  </si>
  <si>
    <t>RFSDA</t>
  </si>
  <si>
    <t>Chesterfield Royal Hospital - RFSDA</t>
  </si>
  <si>
    <t>RX1RA</t>
  </si>
  <si>
    <t>Nottingham University Hospitals NHS Trust - Queen's Medical Centre Campus - RX1RA</t>
  </si>
  <si>
    <t>RK5BC</t>
  </si>
  <si>
    <t>King's Mill Hospital - RK5BC</t>
  </si>
  <si>
    <t>RK5XXX</t>
  </si>
  <si>
    <t>WiC_MIU - RK5XXX</t>
  </si>
  <si>
    <t>RXWAS</t>
  </si>
  <si>
    <t>Royal Shrewsbury Hospital - RXWAS</t>
  </si>
  <si>
    <t>RXWAT</t>
  </si>
  <si>
    <t>The Princess Royal Hospital - RXWAT</t>
  </si>
  <si>
    <t>RTG02</t>
  </si>
  <si>
    <t>Queen's Hospital, Burton Upon Trent - RTG02</t>
  </si>
  <si>
    <t>RTGFG</t>
  </si>
  <si>
    <t>Royal Derby Hospital - RTGFG</t>
  </si>
  <si>
    <t>RTG54</t>
  </si>
  <si>
    <t>Samuel Johnson - RTG54</t>
  </si>
  <si>
    <t>RTG50</t>
  </si>
  <si>
    <t>Sir Robert Peel - RTG50</t>
  </si>
  <si>
    <t>RJE09</t>
  </si>
  <si>
    <t>County Hospital - RJE09</t>
  </si>
  <si>
    <t>RJE01</t>
  </si>
  <si>
    <t>Royal Stoke University Hospital - RJE01</t>
  </si>
  <si>
    <t>RJEXXX</t>
  </si>
  <si>
    <t>WiC_MIU - RJEXXX</t>
  </si>
  <si>
    <t>RQ301</t>
  </si>
  <si>
    <t>Birmingham Children's Hospital - RQ301</t>
  </si>
  <si>
    <t>RLT01</t>
  </si>
  <si>
    <t>George Eliot Hospital - Acute Services - RLT01</t>
  </si>
  <si>
    <t>RXK03</t>
  </si>
  <si>
    <t>Birmingham Midland Eye Centre (Bmec) - RXK03</t>
  </si>
  <si>
    <t>RXK02</t>
  </si>
  <si>
    <t>City Hospital - RXK02</t>
  </si>
  <si>
    <t>RXK01</t>
  </si>
  <si>
    <t>Sandwell General Hospital - RXK01</t>
  </si>
  <si>
    <t>RJC02</t>
  </si>
  <si>
    <t>Warwick Hospital - RJC02</t>
  </si>
  <si>
    <t>RJCXXX</t>
  </si>
  <si>
    <t>WiC_MIU - RJCXXX</t>
  </si>
  <si>
    <t>RNA01</t>
  </si>
  <si>
    <t>Russells Hall Hospital - RNA01</t>
  </si>
  <si>
    <t>RL403</t>
  </si>
  <si>
    <t>New Cross Hospital - RL403</t>
  </si>
  <si>
    <t>RL402</t>
  </si>
  <si>
    <t>The Phoenix Health Centre - RL402</t>
  </si>
  <si>
    <t>RL4XXX</t>
  </si>
  <si>
    <t>WiC_MIU - RL4XXX</t>
  </si>
  <si>
    <t>RRK98</t>
  </si>
  <si>
    <t>Good Hope Hospital - RRK98</t>
  </si>
  <si>
    <t>RRK97</t>
  </si>
  <si>
    <t>Heartlands Hospital - RRK97</t>
  </si>
  <si>
    <t>RRK15</t>
  </si>
  <si>
    <t>Queen Elizabeth Hospital Birmingham - RRK15</t>
  </si>
  <si>
    <t>RRK99</t>
  </si>
  <si>
    <t>Solihull Hospital - RRK99</t>
  </si>
  <si>
    <t>RKB03</t>
  </si>
  <si>
    <t>Hospital Of St Cross - RKB03</t>
  </si>
  <si>
    <t>RKB01</t>
  </si>
  <si>
    <t>University Hospital (Coventry) - RKB01</t>
  </si>
  <si>
    <t>RKBXXX</t>
  </si>
  <si>
    <t>WiC_MIU - RKBXXX</t>
  </si>
  <si>
    <t>RBK02</t>
  </si>
  <si>
    <t>Manor Hospital - RBK02</t>
  </si>
  <si>
    <t>RWP01</t>
  </si>
  <si>
    <t>Alexandra Hospital - RWP01</t>
  </si>
  <si>
    <t>RWP31</t>
  </si>
  <si>
    <t>Kidderminster Hospital - RWP31</t>
  </si>
  <si>
    <t>RWP50</t>
  </si>
  <si>
    <t>Worcestershire Royal Hospital - RWP50</t>
  </si>
  <si>
    <t>RLQ01</t>
  </si>
  <si>
    <t>Hereford County Hospital - RLQ01</t>
  </si>
  <si>
    <t>RNQ51</t>
  </si>
  <si>
    <t>Kettering General Hospital - RNQ51</t>
  </si>
  <si>
    <t>RNS01</t>
  </si>
  <si>
    <t>Northampton General Hospital (Acute) - RNS01</t>
  </si>
  <si>
    <t>RWDLP</t>
  </si>
  <si>
    <t>Grantham and District Hospital - RWDLP</t>
  </si>
  <si>
    <t>RWDDA</t>
  </si>
  <si>
    <t>Lincoln County Hospital - RWDDA</t>
  </si>
  <si>
    <t>RWDLA</t>
  </si>
  <si>
    <t>Pilgrim Hospital - RWDLA</t>
  </si>
  <si>
    <t>RWEAA</t>
  </si>
  <si>
    <t>Leicester Royal Infirmary - RWEAA</t>
  </si>
  <si>
    <t>RDDH0</t>
  </si>
  <si>
    <t>Basildon University Hospital - RDDH0</t>
  </si>
  <si>
    <t>RC110</t>
  </si>
  <si>
    <t>Bedford Hospital South Wing - RC110</t>
  </si>
  <si>
    <t>RGT01</t>
  </si>
  <si>
    <t>Addenbrooke's Hospital - RGT01</t>
  </si>
  <si>
    <t>RWH01</t>
  </si>
  <si>
    <t>Lister Hospital - RWH01</t>
  </si>
  <si>
    <t>RWH20</t>
  </si>
  <si>
    <t>Queen Elizabeth I I Hospital - RWH20</t>
  </si>
  <si>
    <t>RDEE4</t>
  </si>
  <si>
    <t>Colchester General Hospital - RDEE4</t>
  </si>
  <si>
    <t>RDE03</t>
  </si>
  <si>
    <t>Ipswich Hospital - RDE03</t>
  </si>
  <si>
    <t>RGP75</t>
  </si>
  <si>
    <t>James Paget University Hospital - RGP75</t>
  </si>
  <si>
    <t>RC971</t>
  </si>
  <si>
    <t>Luton and Dunstable Hospital - RC971</t>
  </si>
  <si>
    <t>RQ8L0</t>
  </si>
  <si>
    <t>Broomfield Hospital - RQ8L0</t>
  </si>
  <si>
    <t>RD816</t>
  </si>
  <si>
    <t>Milton Keynes Hospital - RD816</t>
  </si>
  <si>
    <t>RM102</t>
  </si>
  <si>
    <t>Norfolk and Norwich University Hospital - RM102</t>
  </si>
  <si>
    <t>RAJ01</t>
  </si>
  <si>
    <t>Southend Hospital - RAJ01</t>
  </si>
  <si>
    <t>RQWG0</t>
  </si>
  <si>
    <t>Princess Alexandra Hospital - RQWG0</t>
  </si>
  <si>
    <t>RCX70</t>
  </si>
  <si>
    <t>The Queen Elizabeth Hospital - RCX70</t>
  </si>
  <si>
    <t>RWG08</t>
  </si>
  <si>
    <t>Hemel Hempstead Hospital - RWG08</t>
  </si>
  <si>
    <t>RWG03</t>
  </si>
  <si>
    <t>St Albans City Hospital - RWG03</t>
  </si>
  <si>
    <t>RWG02</t>
  </si>
  <si>
    <t>Watford General Hospital - RWG02</t>
  </si>
  <si>
    <t>RGR50</t>
  </si>
  <si>
    <t>West Suffolk Hospital - RGR50</t>
  </si>
  <si>
    <t>RMC01</t>
  </si>
  <si>
    <t>Royal Bolton Hospital - RMC01</t>
  </si>
  <si>
    <t>R0A04</t>
  </si>
  <si>
    <t>Manchester Royal Eye Hospital - R0A04</t>
  </si>
  <si>
    <t>R0A02</t>
  </si>
  <si>
    <t>Manchester Royal Infirmary - R0A02</t>
  </si>
  <si>
    <t>R0A03</t>
  </si>
  <si>
    <t>Royal Manchester Children's Hospital - R0A03</t>
  </si>
  <si>
    <t>R0A05</t>
  </si>
  <si>
    <t>St Mary's Hospital - R0A05</t>
  </si>
  <si>
    <t>R0A09</t>
  </si>
  <si>
    <t>Trafford General Hospital - R0A09</t>
  </si>
  <si>
    <t>R0A06</t>
  </si>
  <si>
    <t>University Dental Hospital - R0A06</t>
  </si>
  <si>
    <t>R0A07</t>
  </si>
  <si>
    <t>Wythenshawe Hospital - R0A07</t>
  </si>
  <si>
    <t>RW601</t>
  </si>
  <si>
    <t>Fairfield General Hospital - RW601</t>
  </si>
  <si>
    <t>RW602</t>
  </si>
  <si>
    <t>North Manchester General Hospital - RW602</t>
  </si>
  <si>
    <t>RW604</t>
  </si>
  <si>
    <t>Rochdale Infirmary - RW604</t>
  </si>
  <si>
    <t>RW603</t>
  </si>
  <si>
    <t>Royal Oldham Hospital - RW603</t>
  </si>
  <si>
    <t>RM301</t>
  </si>
  <si>
    <t>Salford Royal - RM301</t>
  </si>
  <si>
    <t>RWJ09</t>
  </si>
  <si>
    <t>Stepping Hill Hospital - RWJ09</t>
  </si>
  <si>
    <t>RMP01</t>
  </si>
  <si>
    <t>Tameside General Hospital - RMP01</t>
  </si>
  <si>
    <t>RRF02</t>
  </si>
  <si>
    <t>Royal Albert Edward Infirmary - RRF02</t>
  </si>
  <si>
    <t>RXL01</t>
  </si>
  <si>
    <t>Blackpool Victoria Hospital - RXL01</t>
  </si>
  <si>
    <t>RXR20</t>
  </si>
  <si>
    <t>Royal Blackburn Hospital - RXR20</t>
  </si>
  <si>
    <t>RXN01</t>
  </si>
  <si>
    <t>Chorley and South Ribble Hospital - RXN01</t>
  </si>
  <si>
    <t>RXN02</t>
  </si>
  <si>
    <t>Royal Preston Hospital - RXN02</t>
  </si>
  <si>
    <t>RTXBU</t>
  </si>
  <si>
    <t>Furness General Hospital - RTXBU</t>
  </si>
  <si>
    <t>RTX02</t>
  </si>
  <si>
    <t>Royal Lancaster Infirmary - RTX02</t>
  </si>
  <si>
    <t>RTXBW</t>
  </si>
  <si>
    <t>Westmorland General Hospital - RTXBW</t>
  </si>
  <si>
    <t>RBD01</t>
  </si>
  <si>
    <t>Dorset County Hospital - RBD01</t>
  </si>
  <si>
    <t>RBZ12</t>
  </si>
  <si>
    <t>North Devon District Hospital - RBZ12</t>
  </si>
  <si>
    <t>RD304</t>
  </si>
  <si>
    <t>Poole General Hospital NHS Trust HQ - RD304</t>
  </si>
  <si>
    <t>REF12</t>
  </si>
  <si>
    <t>Royal Cornwall Hospital (Treliske) - REF12</t>
  </si>
  <si>
    <t>REF01</t>
  </si>
  <si>
    <t>West Cornwall Hospital (Penzance) - REF01</t>
  </si>
  <si>
    <t>RH801</t>
  </si>
  <si>
    <t>Royal Devon and Exeter Hospital (Wonford) - RH801</t>
  </si>
  <si>
    <t>RBA11</t>
  </si>
  <si>
    <t>Musgrove Park Hospital - RBA11</t>
  </si>
  <si>
    <t>RDZ20</t>
  </si>
  <si>
    <t>Royal Bournemouth General Hospital - RDZ20</t>
  </si>
  <si>
    <t>RA901</t>
  </si>
  <si>
    <t>Torbay Hospital - RA901</t>
  </si>
  <si>
    <t>RK950</t>
  </si>
  <si>
    <t>Derriford Hospital - RK950</t>
  </si>
  <si>
    <t>RK9XXX</t>
  </si>
  <si>
    <t>WiC_MIU - RK9XXX</t>
  </si>
  <si>
    <t>RA430</t>
  </si>
  <si>
    <t>Yeovil District Hospital - RA430</t>
  </si>
  <si>
    <t>RTE01</t>
  </si>
  <si>
    <t>Cheltenham General Hospital - RTE01</t>
  </si>
  <si>
    <t>RTE03</t>
  </si>
  <si>
    <t>Gloucestershire Royal Hospital - RTE03</t>
  </si>
  <si>
    <t>RN325</t>
  </si>
  <si>
    <t>The Great Western Hospital - RN325</t>
  </si>
  <si>
    <t>RVJ01</t>
  </si>
  <si>
    <t>Southmead Hospital - RVJ01</t>
  </si>
  <si>
    <t>RD130</t>
  </si>
  <si>
    <t>Royal United Hospital - RD130</t>
  </si>
  <si>
    <t>RD1XXX</t>
  </si>
  <si>
    <t>WiC_MIU - RD1XXX</t>
  </si>
  <si>
    <t>RNZ02</t>
  </si>
  <si>
    <t>Salisbury District Hospital - RNZ02</t>
  </si>
  <si>
    <t>RA708</t>
  </si>
  <si>
    <t>Bristol Eye Hospital - RA708</t>
  </si>
  <si>
    <t>RA723</t>
  </si>
  <si>
    <t>Bristol Royal Hospital For Children - RA723</t>
  </si>
  <si>
    <t>RA701</t>
  </si>
  <si>
    <t>Bristol Royal Infirmary - RA701</t>
  </si>
  <si>
    <t>RA301</t>
  </si>
  <si>
    <t>Weston General Hospital - RA301</t>
  </si>
  <si>
    <t>RXQ02</t>
  </si>
  <si>
    <t>Stoke Mandeville Hospital - RXQ02</t>
  </si>
  <si>
    <t>RDU01</t>
  </si>
  <si>
    <t>Frimley Park Hospital - RDU01</t>
  </si>
  <si>
    <t>RDU50</t>
  </si>
  <si>
    <t>Wexham Park Hospital - RDU50</t>
  </si>
  <si>
    <t>RN542</t>
  </si>
  <si>
    <t>Andover War Memorial Hospital - RN542</t>
  </si>
  <si>
    <t>RN506</t>
  </si>
  <si>
    <t>Basingstoke and North Hampshire Hospital - RN506</t>
  </si>
  <si>
    <t>RN541</t>
  </si>
  <si>
    <t>Royal Hampshire County Hospital - RN541</t>
  </si>
  <si>
    <t>R1F01</t>
  </si>
  <si>
    <t>St Mary's Hospital - R1F01</t>
  </si>
  <si>
    <t>RTH05</t>
  </si>
  <si>
    <t>Horton General Hospital - RTH05</t>
  </si>
  <si>
    <t>RTH08</t>
  </si>
  <si>
    <t>John Radcliffe Hospital - RTH08</t>
  </si>
  <si>
    <t>RHU03</t>
  </si>
  <si>
    <t>Queen Alexandra Hospital - RHU03</t>
  </si>
  <si>
    <t>RHUXXX</t>
  </si>
  <si>
    <t>WiC_MIU - RHUXXX</t>
  </si>
  <si>
    <t>RHW03</t>
  </si>
  <si>
    <t>King Edward Vii Hospital - RHW03</t>
  </si>
  <si>
    <t>RHW01</t>
  </si>
  <si>
    <t>Royal Berkshire Hospital - RHW01</t>
  </si>
  <si>
    <t>RHM01</t>
  </si>
  <si>
    <t>Southampton General Hospital - RHM01</t>
  </si>
  <si>
    <t>RTK01</t>
  </si>
  <si>
    <t>St Peter's Hospital - RTK01</t>
  </si>
  <si>
    <t>RXH09</t>
  </si>
  <si>
    <t>Princess Royal Hospital - RXH09</t>
  </si>
  <si>
    <t>RXH01</t>
  </si>
  <si>
    <t>Royal Sussex County Hospital - RXH01</t>
  </si>
  <si>
    <t>RXH07</t>
  </si>
  <si>
    <t>Sussex Eye Hospital - RXH07</t>
  </si>
  <si>
    <t>RXH06</t>
  </si>
  <si>
    <t>The Royal Alexandra Children's Hospital - RXH06</t>
  </si>
  <si>
    <t>RN707</t>
  </si>
  <si>
    <t>Darent Valley Hospital - RN707</t>
  </si>
  <si>
    <t>RVV02</t>
  </si>
  <si>
    <t>Buckland Hospital - RVV02</t>
  </si>
  <si>
    <t>RVVKC</t>
  </si>
  <si>
    <t>Kent and Canterbury Hospital - RVVKC</t>
  </si>
  <si>
    <t>RVV09</t>
  </si>
  <si>
    <t>Queen Elizabeth The Queen Mother Hospital - RVV09</t>
  </si>
  <si>
    <t>RVV01</t>
  </si>
  <si>
    <t>William Harvey Hospital (Ashford) - RVV01</t>
  </si>
  <si>
    <t>RXC01</t>
  </si>
  <si>
    <t>Conquest Hospital - RXC01</t>
  </si>
  <si>
    <t>RXC02</t>
  </si>
  <si>
    <t>Eastbourne District General Hospital - RXC02</t>
  </si>
  <si>
    <t>RWF03</t>
  </si>
  <si>
    <t>Maidstone District General Hospital - RWF03</t>
  </si>
  <si>
    <t>RWFTW</t>
  </si>
  <si>
    <t>The Tunbridge Wells Hospital - RWFTW</t>
  </si>
  <si>
    <t>RWFXXX</t>
  </si>
  <si>
    <t>WiC_MIU - RWFXXX</t>
  </si>
  <si>
    <t>RPA02</t>
  </si>
  <si>
    <t>Medway Maritime Hospital - RPA02</t>
  </si>
  <si>
    <t>RPC04</t>
  </si>
  <si>
    <t>Queen Victoria Hospital (East Grinstead) - RPC04</t>
  </si>
  <si>
    <t>RA201</t>
  </si>
  <si>
    <t>Royal Surrey County Hospital - RA201</t>
  </si>
  <si>
    <t>RA2XXX</t>
  </si>
  <si>
    <t>WiC_MIU - RA2XXX</t>
  </si>
  <si>
    <t>RTP04</t>
  </si>
  <si>
    <t>East Surrey Hospital - RTP04</t>
  </si>
  <si>
    <t>RYR16</t>
  </si>
  <si>
    <t>St Richard's Hospital - RYR16</t>
  </si>
  <si>
    <t>RYR18</t>
  </si>
  <si>
    <t>Worthing Hospital - RYR18</t>
  </si>
  <si>
    <t>Sort</t>
  </si>
  <si>
    <t>Region (LO) name</t>
  </si>
  <si>
    <t>Trust code</t>
  </si>
  <si>
    <t>Trust name</t>
  </si>
  <si>
    <t>Sort Lists:</t>
  </si>
  <si>
    <t>Sort range…</t>
  </si>
  <si>
    <t>Reference Region List:</t>
  </si>
  <si>
    <t>Code…</t>
  </si>
  <si>
    <t>Name…</t>
  </si>
  <si>
    <t>Linked Region List:</t>
  </si>
  <si>
    <t>Reference Lists:</t>
  </si>
  <si>
    <t>Trusts Linked Lists:</t>
  </si>
  <si>
    <t>Sites Linked Lists:</t>
  </si>
  <si>
    <t>Region (LO)</t>
  </si>
  <si>
    <t>-</t>
  </si>
  <si>
    <t>Trusts</t>
  </si>
  <si>
    <t>Site</t>
  </si>
  <si>
    <t>Percentage Not Recommended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</si>
</sst>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mmm\ yy"/>
    <numFmt numFmtId="166" formatCode="0.0%"/>
  </numFmts>
  <fonts count="17" x14ac:knownFonts="1">
    <font>
      <sz val="11"/>
      <color theme="1"/>
      <name val="Calibri"/>
      <family val="2"/>
      <scheme val="minor"/>
    </font>
    <font>
      <sz val="11"/>
      <color theme="1"/>
      <name val="Calibri"/>
      <family val="2"/>
      <scheme val="minor"/>
    </font>
    <font>
      <sz val="12"/>
      <color rgb="FF000000"/>
      <name val="Calibri"/>
      <family val="2"/>
    </font>
    <font>
      <sz val="14"/>
      <color rgb="FF000000"/>
      <name val="Calibri"/>
      <family val="2"/>
    </font>
    <font>
      <sz val="10"/>
      <name val="Arial"/>
      <family val="2"/>
    </font>
    <font>
      <b/>
      <sz val="16"/>
      <name val="Arial"/>
      <family val="2"/>
    </font>
    <font>
      <sz val="14"/>
      <name val="Calibri"/>
      <family val="2"/>
      <scheme val="minor"/>
    </font>
    <font>
      <sz val="11"/>
      <name val="Calibri"/>
      <family val="2"/>
      <scheme val="minor"/>
    </font>
    <font>
      <sz val="12"/>
      <color rgb="FF000000"/>
      <name val="Arial"/>
      <family val="2"/>
    </font>
    <font>
      <u/>
      <sz val="12"/>
      <color rgb="FF000000"/>
      <name val="Arial"/>
      <family val="2"/>
    </font>
    <font>
      <sz val="13"/>
      <name val="Calibri"/>
      <family val="2"/>
      <scheme val="minor"/>
    </font>
    <font>
      <b/>
      <sz val="10"/>
      <name val="Verdana"/>
      <family val="2"/>
    </font>
    <font>
      <sz val="13"/>
      <color rgb="FF000000"/>
      <name val="Calibri"/>
      <family val="2"/>
    </font>
    <font>
      <sz val="8"/>
      <color rgb="FF000000"/>
      <name val="Tahoma"/>
      <family val="2"/>
    </font>
    <font>
      <b/>
      <sz val="11"/>
      <name val="Calibri"/>
      <family val="2"/>
      <scheme val="minor"/>
    </font>
    <font>
      <b/>
      <sz val="9"/>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2">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hair">
        <color indexed="64"/>
      </bottom>
      <diagonal/>
    </border>
    <border>
      <left style="thin">
        <color auto="1"/>
      </left>
      <right style="thin">
        <color indexed="64"/>
      </right>
      <top style="thin">
        <color indexed="64"/>
      </top>
      <bottom style="dotted">
        <color auto="1"/>
      </bottom>
      <diagonal/>
    </border>
    <border>
      <left style="thin">
        <color auto="1"/>
      </left>
      <right style="thin">
        <color auto="1"/>
      </right>
      <top/>
      <bottom style="hair">
        <color auto="1"/>
      </bottom>
      <diagonal/>
    </border>
    <border>
      <left style="thin">
        <color indexed="64"/>
      </left>
      <right style="thin">
        <color indexed="64"/>
      </right>
      <top style="hair">
        <color indexed="64"/>
      </top>
      <bottom style="hair">
        <color indexed="64"/>
      </bottom>
      <diagonal/>
    </border>
    <border>
      <left style="thin">
        <color auto="1"/>
      </left>
      <right style="thin">
        <color indexed="64"/>
      </right>
      <top style="dotted">
        <color auto="1"/>
      </top>
      <bottom style="dotted">
        <color auto="1"/>
      </bottom>
      <diagonal/>
    </border>
    <border>
      <left style="thin">
        <color indexed="64"/>
      </left>
      <right style="thin">
        <color indexed="64"/>
      </right>
      <top style="hair">
        <color indexed="64"/>
      </top>
      <bottom style="thin">
        <color indexed="64"/>
      </bottom>
      <diagonal/>
    </border>
    <border>
      <left style="thin">
        <color auto="1"/>
      </left>
      <right style="thin">
        <color indexed="64"/>
      </right>
      <top style="dotted">
        <color auto="1"/>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medium">
        <color auto="1"/>
      </bottom>
      <diagonal/>
    </border>
    <border>
      <left/>
      <right style="thin">
        <color indexed="64"/>
      </right>
      <top style="hair">
        <color indexed="64"/>
      </top>
      <bottom style="medium">
        <color auto="1"/>
      </bottom>
      <diagonal/>
    </border>
    <border>
      <left style="thin">
        <color indexed="64"/>
      </left>
      <right style="thin">
        <color indexed="64"/>
      </right>
      <top style="hair">
        <color indexed="64"/>
      </top>
      <bottom style="medium">
        <color auto="1"/>
      </bottom>
      <diagonal/>
    </border>
    <border>
      <left/>
      <right/>
      <top/>
      <bottom style="medium">
        <color indexed="64"/>
      </bottom>
      <diagonal/>
    </border>
    <border>
      <left style="thin">
        <color auto="1"/>
      </left>
      <right/>
      <top style="thin">
        <color auto="1"/>
      </top>
      <bottom style="dotted">
        <color auto="1"/>
      </bottom>
      <diagonal/>
    </border>
    <border>
      <left style="thin">
        <color indexed="64"/>
      </left>
      <right/>
      <top style="dotted">
        <color auto="1"/>
      </top>
      <bottom style="dotted">
        <color auto="1"/>
      </bottom>
      <diagonal/>
    </border>
    <border>
      <left style="thin">
        <color indexed="64"/>
      </left>
      <right/>
      <top style="dotted">
        <color auto="1"/>
      </top>
      <bottom style="thin">
        <color indexed="64"/>
      </bottom>
      <diagonal/>
    </border>
    <border>
      <left/>
      <right/>
      <top style="thin">
        <color indexed="64"/>
      </top>
      <bottom style="thin">
        <color indexed="64"/>
      </bottom>
      <diagonal/>
    </border>
    <border>
      <left/>
      <right/>
      <top style="thin">
        <color indexed="64"/>
      </top>
      <bottom style="hair">
        <color indexed="64"/>
      </bottom>
      <diagonal/>
    </border>
    <border>
      <left/>
      <right/>
      <top style="hair">
        <color indexed="64"/>
      </top>
      <bottom style="medium">
        <color auto="1"/>
      </bottom>
      <diagonal/>
    </border>
    <border>
      <left style="thin">
        <color auto="1"/>
      </left>
      <right style="thin">
        <color indexed="64"/>
      </right>
      <top style="thin">
        <color indexed="64"/>
      </top>
      <bottom style="dotted">
        <color auto="1"/>
      </bottom>
      <diagonal/>
    </border>
    <border>
      <left style="thin">
        <color auto="1"/>
      </left>
      <right style="thin">
        <color indexed="64"/>
      </right>
      <top style="dotted">
        <color auto="1"/>
      </top>
      <bottom style="dotted">
        <color auto="1"/>
      </bottom>
      <diagonal/>
    </border>
    <border>
      <left style="thin">
        <color auto="1"/>
      </left>
      <right style="thin">
        <color indexed="64"/>
      </right>
      <top style="dotted">
        <color auto="1"/>
      </top>
      <bottom style="thin">
        <color indexed="64"/>
      </bottom>
      <diagonal/>
    </border>
  </borders>
  <cellStyleXfs count="20">
    <xf numFmtId="0" fontId="0" fillId="0" borderId="0"/>
    <xf numFmtId="9" fontId="4" fillId="0" borderId="0" applyFont="0" applyFill="0" applyBorder="0" applyAlignment="0" applyProtection="0"/>
    <xf numFmtId="0" fontId="4" fillId="0" borderId="0"/>
    <xf numFmtId="0" fontId="1" fillId="0" borderId="0"/>
    <xf numFmtId="0" fontId="1" fillId="0" borderId="0"/>
    <xf numFmtId="9" fontId="1" fillId="0" borderId="0" applyFont="0" applyFill="0" applyBorder="0" applyAlignment="0" applyProtection="0"/>
    <xf numFmtId="0" fontId="4" fillId="0" borderId="0"/>
    <xf numFmtId="164" fontId="1" fillId="0" borderId="0" applyFont="0" applyFill="0" applyBorder="0" applyAlignment="0" applyProtection="0"/>
    <xf numFmtId="0" fontId="1" fillId="0" borderId="0"/>
    <xf numFmtId="0" fontId="16" fillId="0" borderId="0"/>
    <xf numFmtId="0" fontId="16" fillId="0" borderId="0"/>
    <xf numFmtId="164" fontId="4" fillId="0" borderId="0" applyFont="0" applyFill="0" applyBorder="0" applyAlignment="0" applyProtection="0"/>
    <xf numFmtId="9"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cellStyleXfs>
  <cellXfs count="110">
    <xf numFmtId="0" fontId="0" fillId="0" borderId="0" xfId="0"/>
    <xf numFmtId="0" fontId="4" fillId="2" borderId="0" xfId="2" applyFill="1"/>
    <xf numFmtId="0" fontId="5" fillId="2" borderId="0" xfId="2" applyFont="1" applyFill="1" applyAlignment="1">
      <alignment vertical="center" wrapText="1"/>
    </xf>
    <xf numFmtId="0" fontId="6" fillId="3" borderId="1" xfId="3" applyFont="1" applyFill="1" applyBorder="1" applyAlignment="1">
      <alignment vertical="center"/>
    </xf>
    <xf numFmtId="0" fontId="7" fillId="3" borderId="2" xfId="3" applyFont="1" applyFill="1" applyBorder="1"/>
    <xf numFmtId="0" fontId="7" fillId="3" borderId="3" xfId="3" applyFont="1" applyFill="1" applyBorder="1"/>
    <xf numFmtId="0" fontId="5" fillId="2" borderId="0" xfId="2" applyFont="1" applyFill="1" applyAlignment="1">
      <alignment horizontal="left" vertical="center"/>
    </xf>
    <xf numFmtId="0" fontId="4" fillId="0" borderId="0" xfId="2"/>
    <xf numFmtId="0" fontId="7" fillId="3" borderId="0" xfId="4" applyFont="1" applyFill="1"/>
    <xf numFmtId="9" fontId="4" fillId="3" borderId="0" xfId="5" applyFont="1" applyFill="1" applyBorder="1"/>
    <xf numFmtId="9" fontId="10" fillId="3" borderId="0" xfId="5" applyFont="1" applyFill="1" applyBorder="1" applyAlignment="1">
      <alignment vertical="center" wrapText="1"/>
    </xf>
    <xf numFmtId="0" fontId="11" fillId="4" borderId="4" xfId="4" applyFont="1" applyFill="1" applyBorder="1" applyAlignment="1">
      <alignment horizontal="center" vertical="center" wrapText="1"/>
    </xf>
    <xf numFmtId="165" fontId="11" fillId="4" borderId="4" xfId="4" applyNumberFormat="1" applyFont="1" applyFill="1" applyBorder="1" applyAlignment="1">
      <alignment horizontal="center" vertical="center" wrapText="1"/>
    </xf>
    <xf numFmtId="0" fontId="4" fillId="3" borderId="0" xfId="2" applyFill="1"/>
    <xf numFmtId="0" fontId="7" fillId="0" borderId="8" xfId="6" applyFont="1" applyBorder="1" applyAlignment="1">
      <alignment horizontal="left" vertical="center" wrapText="1"/>
    </xf>
    <xf numFmtId="0" fontId="7" fillId="0" borderId="8" xfId="6" applyFont="1" applyBorder="1" applyAlignment="1">
      <alignment horizontal="center" vertical="center"/>
    </xf>
    <xf numFmtId="3" fontId="7" fillId="0" borderId="9" xfId="6" applyNumberFormat="1" applyFont="1" applyBorder="1" applyAlignment="1">
      <alignment horizontal="center" vertical="center"/>
    </xf>
    <xf numFmtId="3" fontId="7" fillId="0" borderId="8" xfId="6" applyNumberFormat="1" applyFont="1" applyBorder="1" applyAlignment="1">
      <alignment horizontal="center" vertical="center"/>
    </xf>
    <xf numFmtId="166" fontId="7" fillId="0" borderId="8" xfId="1" applyNumberFormat="1" applyFont="1" applyFill="1" applyBorder="1" applyAlignment="1">
      <alignment horizontal="center" vertical="center"/>
    </xf>
    <xf numFmtId="9" fontId="7" fillId="0" borderId="8" xfId="1" applyFont="1" applyFill="1" applyBorder="1" applyAlignment="1">
      <alignment horizontal="center" vertical="center"/>
    </xf>
    <xf numFmtId="0" fontId="7" fillId="0" borderId="10" xfId="6" applyFont="1" applyBorder="1" applyAlignment="1">
      <alignment horizontal="left" vertical="center" wrapText="1"/>
    </xf>
    <xf numFmtId="0" fontId="7" fillId="0" borderId="11" xfId="6" applyFont="1" applyBorder="1" applyAlignment="1">
      <alignment horizontal="center" vertical="center"/>
    </xf>
    <xf numFmtId="3" fontId="7" fillId="0" borderId="12" xfId="6" applyNumberFormat="1" applyFont="1" applyBorder="1" applyAlignment="1">
      <alignment horizontal="center" vertical="center"/>
    </xf>
    <xf numFmtId="3" fontId="7" fillId="0" borderId="11" xfId="6" applyNumberFormat="1" applyFont="1" applyBorder="1" applyAlignment="1">
      <alignment horizontal="center" vertical="center"/>
    </xf>
    <xf numFmtId="166" fontId="7" fillId="0" borderId="11" xfId="1" applyNumberFormat="1" applyFont="1" applyFill="1" applyBorder="1" applyAlignment="1">
      <alignment horizontal="center" vertical="center"/>
    </xf>
    <xf numFmtId="9" fontId="7" fillId="0" borderId="11" xfId="1" applyFont="1" applyFill="1" applyBorder="1" applyAlignment="1">
      <alignment horizontal="center" vertical="center"/>
    </xf>
    <xf numFmtId="0" fontId="7" fillId="0" borderId="13" xfId="6" applyFont="1" applyBorder="1" applyAlignment="1">
      <alignment horizontal="left" vertical="center" wrapText="1"/>
    </xf>
    <xf numFmtId="0" fontId="7" fillId="0" borderId="13" xfId="6" applyFont="1" applyBorder="1" applyAlignment="1">
      <alignment horizontal="center" vertical="center"/>
    </xf>
    <xf numFmtId="3" fontId="7" fillId="0" borderId="14" xfId="6" applyNumberFormat="1" applyFont="1" applyBorder="1" applyAlignment="1">
      <alignment horizontal="center" vertical="center"/>
    </xf>
    <xf numFmtId="3" fontId="7" fillId="0" borderId="13" xfId="6" applyNumberFormat="1" applyFont="1" applyBorder="1" applyAlignment="1">
      <alignment horizontal="center" vertical="center"/>
    </xf>
    <xf numFmtId="166" fontId="7" fillId="0" borderId="13" xfId="1" applyNumberFormat="1" applyFont="1" applyFill="1" applyBorder="1" applyAlignment="1">
      <alignment horizontal="center" vertical="center"/>
    </xf>
    <xf numFmtId="9" fontId="7" fillId="0" borderId="13" xfId="1" applyFont="1" applyFill="1" applyBorder="1" applyAlignment="1">
      <alignment horizontal="center" vertical="center"/>
    </xf>
    <xf numFmtId="9" fontId="7" fillId="3" borderId="0" xfId="5" applyFont="1" applyFill="1" applyBorder="1"/>
    <xf numFmtId="0" fontId="11" fillId="4" borderId="15" xfId="4" applyFont="1" applyFill="1" applyBorder="1" applyAlignment="1">
      <alignment horizontal="center" vertical="center" wrapText="1"/>
    </xf>
    <xf numFmtId="0" fontId="14" fillId="2" borderId="17" xfId="4" applyFont="1" applyFill="1" applyBorder="1"/>
    <xf numFmtId="0" fontId="14" fillId="2" borderId="18" xfId="4" applyFont="1" applyFill="1" applyBorder="1" applyAlignment="1">
      <alignment horizontal="right"/>
    </xf>
    <xf numFmtId="3" fontId="14" fillId="0" borderId="8" xfId="6" applyNumberFormat="1" applyFont="1" applyBorder="1" applyAlignment="1">
      <alignment horizontal="center" vertical="center" wrapText="1"/>
    </xf>
    <xf numFmtId="166" fontId="14" fillId="0" borderId="8" xfId="1" applyNumberFormat="1" applyFont="1" applyFill="1" applyBorder="1" applyAlignment="1">
      <alignment horizontal="center" vertical="center" wrapText="1"/>
    </xf>
    <xf numFmtId="9" fontId="14" fillId="0" borderId="8" xfId="6" applyNumberFormat="1" applyFont="1" applyBorder="1" applyAlignment="1">
      <alignment horizontal="center" wrapText="1"/>
    </xf>
    <xf numFmtId="3" fontId="14" fillId="0" borderId="8" xfId="6" applyNumberFormat="1" applyFont="1" applyBorder="1" applyAlignment="1">
      <alignment horizontal="center" wrapText="1"/>
    </xf>
    <xf numFmtId="0" fontId="14" fillId="3" borderId="0" xfId="4" applyFont="1" applyFill="1"/>
    <xf numFmtId="0" fontId="14" fillId="2" borderId="19" xfId="4" applyFont="1" applyFill="1" applyBorder="1"/>
    <xf numFmtId="0" fontId="14" fillId="2" borderId="20" xfId="4" applyFont="1" applyFill="1" applyBorder="1" applyAlignment="1">
      <alignment horizontal="right"/>
    </xf>
    <xf numFmtId="3" fontId="14" fillId="0" borderId="21" xfId="4" applyNumberFormat="1" applyFont="1" applyBorder="1" applyAlignment="1">
      <alignment horizontal="center"/>
    </xf>
    <xf numFmtId="166" fontId="14" fillId="0" borderId="21" xfId="1" applyNumberFormat="1" applyFont="1" applyFill="1" applyBorder="1" applyAlignment="1">
      <alignment horizontal="center"/>
    </xf>
    <xf numFmtId="9" fontId="14" fillId="0" borderId="21" xfId="4" applyNumberFormat="1" applyFont="1" applyBorder="1" applyAlignment="1">
      <alignment horizontal="center"/>
    </xf>
    <xf numFmtId="0" fontId="14" fillId="3" borderId="22" xfId="4" applyFont="1" applyFill="1" applyBorder="1"/>
    <xf numFmtId="0" fontId="7" fillId="0" borderId="9" xfId="6" applyFont="1" applyBorder="1" applyAlignment="1">
      <alignment horizontal="left"/>
    </xf>
    <xf numFmtId="0" fontId="7" fillId="0" borderId="23" xfId="6" applyFont="1" applyBorder="1" applyAlignment="1">
      <alignment horizontal="left"/>
    </xf>
    <xf numFmtId="3" fontId="7" fillId="0" borderId="9" xfId="6" applyNumberFormat="1" applyFont="1" applyBorder="1" applyAlignment="1">
      <alignment horizontal="right"/>
    </xf>
    <xf numFmtId="166" fontId="7" fillId="0" borderId="9" xfId="1" applyNumberFormat="1" applyFont="1" applyFill="1" applyBorder="1" applyAlignment="1">
      <alignment horizontal="right"/>
    </xf>
    <xf numFmtId="9" fontId="7" fillId="0" borderId="9" xfId="6" applyNumberFormat="1" applyFont="1" applyBorder="1" applyAlignment="1">
      <alignment horizontal="right"/>
    </xf>
    <xf numFmtId="0" fontId="7" fillId="3" borderId="0" xfId="2" applyFont="1" applyFill="1"/>
    <xf numFmtId="0" fontId="7" fillId="0" borderId="12" xfId="6" applyFont="1" applyBorder="1" applyAlignment="1">
      <alignment horizontal="left"/>
    </xf>
    <xf numFmtId="0" fontId="7" fillId="0" borderId="24" xfId="6" applyFont="1" applyBorder="1" applyAlignment="1">
      <alignment horizontal="left"/>
    </xf>
    <xf numFmtId="3" fontId="7" fillId="0" borderId="12" xfId="6" applyNumberFormat="1" applyFont="1" applyBorder="1" applyAlignment="1">
      <alignment horizontal="right"/>
    </xf>
    <xf numFmtId="166" fontId="7" fillId="0" borderId="12" xfId="1" applyNumberFormat="1" applyFont="1" applyFill="1" applyBorder="1" applyAlignment="1">
      <alignment horizontal="right"/>
    </xf>
    <xf numFmtId="9" fontId="7" fillId="0" borderId="12" xfId="6" applyNumberFormat="1" applyFont="1" applyBorder="1" applyAlignment="1">
      <alignment horizontal="right"/>
    </xf>
    <xf numFmtId="0" fontId="7" fillId="0" borderId="14" xfId="6" applyFont="1" applyBorder="1" applyAlignment="1">
      <alignment horizontal="left"/>
    </xf>
    <xf numFmtId="0" fontId="7" fillId="0" borderId="25" xfId="6" applyFont="1" applyBorder="1" applyAlignment="1">
      <alignment horizontal="left"/>
    </xf>
    <xf numFmtId="3" fontId="7" fillId="0" borderId="14" xfId="6" applyNumberFormat="1" applyFont="1" applyBorder="1" applyAlignment="1">
      <alignment horizontal="right"/>
    </xf>
    <xf numFmtId="166" fontId="7" fillId="0" borderId="14" xfId="1" applyNumberFormat="1" applyFont="1" applyFill="1" applyBorder="1" applyAlignment="1">
      <alignment horizontal="right"/>
    </xf>
    <xf numFmtId="9" fontId="7" fillId="0" borderId="14" xfId="6" applyNumberFormat="1" applyFont="1" applyBorder="1" applyAlignment="1">
      <alignment horizontal="right"/>
    </xf>
    <xf numFmtId="0" fontId="7" fillId="3" borderId="0" xfId="4" applyFont="1" applyFill="1" applyAlignment="1">
      <alignment horizontal="right"/>
    </xf>
    <xf numFmtId="0" fontId="15" fillId="4" borderId="16" xfId="4" applyFont="1" applyFill="1" applyBorder="1" applyAlignment="1">
      <alignment horizontal="center" vertical="center" wrapText="1"/>
    </xf>
    <xf numFmtId="0" fontId="14" fillId="2" borderId="27" xfId="4" applyFont="1" applyFill="1" applyBorder="1"/>
    <xf numFmtId="3" fontId="14" fillId="0" borderId="8" xfId="7" applyNumberFormat="1" applyFont="1" applyFill="1" applyBorder="1" applyAlignment="1">
      <alignment horizontal="center" vertical="center" wrapText="1"/>
    </xf>
    <xf numFmtId="3" fontId="14" fillId="0" borderId="8" xfId="8" applyNumberFormat="1" applyFont="1" applyBorder="1" applyAlignment="1">
      <alignment horizontal="center" vertical="center" wrapText="1"/>
    </xf>
    <xf numFmtId="0" fontId="14" fillId="2" borderId="28" xfId="4" applyFont="1" applyFill="1" applyBorder="1"/>
    <xf numFmtId="0" fontId="7" fillId="5" borderId="29" xfId="2" applyFont="1" applyFill="1" applyBorder="1"/>
    <xf numFmtId="3" fontId="7" fillId="5" borderId="29" xfId="6" applyNumberFormat="1" applyFont="1" applyFill="1" applyBorder="1" applyAlignment="1">
      <alignment horizontal="right"/>
    </xf>
    <xf numFmtId="166" fontId="7" fillId="5" borderId="29" xfId="1" applyNumberFormat="1" applyFont="1" applyFill="1" applyBorder="1" applyAlignment="1">
      <alignment horizontal="right"/>
    </xf>
    <xf numFmtId="9" fontId="7" fillId="5" borderId="29" xfId="6" applyNumberFormat="1" applyFont="1" applyFill="1" applyBorder="1" applyAlignment="1">
      <alignment horizontal="right"/>
    </xf>
    <xf numFmtId="3" fontId="7" fillId="5" borderId="29" xfId="9" applyNumberFormat="1" applyFont="1" applyFill="1" applyBorder="1" applyAlignment="1">
      <alignment horizontal="right"/>
    </xf>
    <xf numFmtId="0" fontId="7" fillId="5" borderId="30" xfId="2" applyFont="1" applyFill="1" applyBorder="1"/>
    <xf numFmtId="3" fontId="7" fillId="5" borderId="30" xfId="6" applyNumberFormat="1" applyFont="1" applyFill="1" applyBorder="1" applyAlignment="1">
      <alignment horizontal="right"/>
    </xf>
    <xf numFmtId="166" fontId="7" fillId="5" borderId="30" xfId="1" applyNumberFormat="1" applyFont="1" applyFill="1" applyBorder="1" applyAlignment="1">
      <alignment horizontal="right"/>
    </xf>
    <xf numFmtId="9" fontId="7" fillId="5" borderId="30" xfId="6" applyNumberFormat="1" applyFont="1" applyFill="1" applyBorder="1" applyAlignment="1">
      <alignment horizontal="right"/>
    </xf>
    <xf numFmtId="3" fontId="7" fillId="5" borderId="30" xfId="9" applyNumberFormat="1" applyFont="1" applyFill="1" applyBorder="1" applyAlignment="1">
      <alignment horizontal="right"/>
    </xf>
    <xf numFmtId="0" fontId="7" fillId="5" borderId="31" xfId="2" applyFont="1" applyFill="1" applyBorder="1"/>
    <xf numFmtId="3" fontId="7" fillId="5" borderId="31" xfId="6" applyNumberFormat="1" applyFont="1" applyFill="1" applyBorder="1" applyAlignment="1">
      <alignment horizontal="right"/>
    </xf>
    <xf numFmtId="166" fontId="7" fillId="5" borderId="31" xfId="1" applyNumberFormat="1" applyFont="1" applyFill="1" applyBorder="1" applyAlignment="1">
      <alignment horizontal="right"/>
    </xf>
    <xf numFmtId="9" fontId="7" fillId="5" borderId="31" xfId="6" applyNumberFormat="1" applyFont="1" applyFill="1" applyBorder="1" applyAlignment="1">
      <alignment horizontal="right"/>
    </xf>
    <xf numFmtId="3" fontId="7" fillId="5" borderId="31" xfId="9" applyNumberFormat="1" applyFont="1" applyFill="1" applyBorder="1" applyAlignment="1">
      <alignment horizontal="right"/>
    </xf>
    <xf numFmtId="0" fontId="7" fillId="5" borderId="29" xfId="10" applyFont="1" applyFill="1" applyBorder="1"/>
    <xf numFmtId="3" fontId="7" fillId="5" borderId="29" xfId="11" applyNumberFormat="1" applyFont="1" applyFill="1" applyBorder="1" applyAlignment="1">
      <alignment horizontal="right" vertical="top"/>
    </xf>
    <xf numFmtId="166" fontId="7" fillId="5" borderId="29" xfId="12" applyNumberFormat="1" applyFont="1" applyFill="1" applyBorder="1" applyAlignment="1">
      <alignment horizontal="right"/>
    </xf>
    <xf numFmtId="9" fontId="7" fillId="5" borderId="29" xfId="11" applyNumberFormat="1" applyFont="1" applyFill="1" applyBorder="1" applyAlignment="1">
      <alignment horizontal="right" vertical="top"/>
    </xf>
    <xf numFmtId="0" fontId="7" fillId="5" borderId="30" xfId="10" applyFont="1" applyFill="1" applyBorder="1"/>
    <xf numFmtId="3" fontId="7" fillId="5" borderId="30" xfId="11" applyNumberFormat="1" applyFont="1" applyFill="1" applyBorder="1" applyAlignment="1">
      <alignment horizontal="right" vertical="top"/>
    </xf>
    <xf numFmtId="166" fontId="7" fillId="5" borderId="30" xfId="12" applyNumberFormat="1" applyFont="1" applyFill="1" applyBorder="1" applyAlignment="1">
      <alignment horizontal="right"/>
    </xf>
    <xf numFmtId="9" fontId="7" fillId="5" borderId="30" xfId="11" applyNumberFormat="1" applyFont="1" applyFill="1" applyBorder="1" applyAlignment="1">
      <alignment horizontal="right" vertical="top"/>
    </xf>
    <xf numFmtId="0" fontId="7" fillId="5" borderId="31" xfId="10" applyFont="1" applyFill="1" applyBorder="1"/>
    <xf numFmtId="3" fontId="7" fillId="5" borderId="31" xfId="11" applyNumberFormat="1" applyFont="1" applyFill="1" applyBorder="1" applyAlignment="1">
      <alignment horizontal="right" vertical="top"/>
    </xf>
    <xf numFmtId="166" fontId="7" fillId="5" borderId="31" xfId="12" applyNumberFormat="1" applyFont="1" applyFill="1" applyBorder="1" applyAlignment="1">
      <alignment horizontal="right"/>
    </xf>
    <xf numFmtId="9" fontId="7" fillId="5" borderId="31" xfId="11" applyNumberFormat="1" applyFont="1" applyFill="1" applyBorder="1" applyAlignment="1">
      <alignment horizontal="right" vertical="top"/>
    </xf>
    <xf numFmtId="0" fontId="7" fillId="6" borderId="15" xfId="2" applyFont="1" applyFill="1" applyBorder="1"/>
    <xf numFmtId="0" fontId="7" fillId="0" borderId="0" xfId="2" applyFont="1"/>
    <xf numFmtId="0" fontId="7" fillId="6" borderId="0" xfId="2" applyFont="1" applyFill="1"/>
    <xf numFmtId="0" fontId="7" fillId="0" borderId="15" xfId="2" applyFont="1" applyBorder="1"/>
    <xf numFmtId="0" fontId="5" fillId="2" borderId="0" xfId="2" applyFont="1" applyFill="1" applyAlignment="1">
      <alignment horizontal="left" vertical="center" wrapText="1"/>
    </xf>
    <xf numFmtId="0" fontId="11" fillId="4" borderId="4" xfId="4" applyFont="1" applyFill="1" applyBorder="1" applyAlignment="1">
      <alignment horizontal="center" vertical="center" wrapText="1"/>
    </xf>
    <xf numFmtId="0" fontId="11" fillId="4" borderId="7" xfId="4" applyFont="1" applyFill="1" applyBorder="1" applyAlignment="1">
      <alignment horizontal="center" vertical="center" wrapText="1"/>
    </xf>
    <xf numFmtId="0" fontId="11" fillId="4" borderId="5" xfId="4" applyFont="1" applyFill="1" applyBorder="1" applyAlignment="1">
      <alignment horizontal="center" vertical="center" wrapText="1"/>
    </xf>
    <xf numFmtId="0" fontId="11" fillId="4" borderId="6" xfId="4" applyFont="1" applyFill="1" applyBorder="1" applyAlignment="1">
      <alignment horizontal="center" vertical="center" wrapText="1"/>
    </xf>
    <xf numFmtId="9" fontId="11" fillId="4" borderId="4" xfId="5" applyFont="1" applyFill="1" applyBorder="1" applyAlignment="1">
      <alignment horizontal="center" vertical="center" wrapText="1"/>
    </xf>
    <xf numFmtId="9" fontId="11" fillId="4" borderId="16" xfId="5" applyFont="1" applyFill="1" applyBorder="1" applyAlignment="1">
      <alignment horizontal="center" vertical="center" wrapText="1"/>
    </xf>
    <xf numFmtId="0" fontId="11" fillId="4" borderId="15" xfId="4" applyFont="1" applyFill="1" applyBorder="1" applyAlignment="1">
      <alignment horizontal="center" vertical="center" wrapText="1"/>
    </xf>
    <xf numFmtId="0" fontId="11" fillId="4" borderId="16" xfId="4" applyFont="1" applyFill="1" applyBorder="1" applyAlignment="1">
      <alignment horizontal="center" vertical="center" wrapText="1"/>
    </xf>
    <xf numFmtId="0" fontId="11" fillId="4" borderId="26" xfId="4" applyFont="1" applyFill="1" applyBorder="1" applyAlignment="1">
      <alignment horizontal="center" vertical="center" wrapText="1"/>
    </xf>
  </cellXfs>
  <cellStyles count="20">
    <cellStyle name="Comma 2" xfId="13" xr:uid="{00000000-0005-0000-0000-000000000000}"/>
    <cellStyle name="Comma 2 2" xfId="7" xr:uid="{00000000-0005-0000-0000-000001000000}"/>
    <cellStyle name="Comma 3" xfId="11" xr:uid="{00000000-0005-0000-0000-000002000000}"/>
    <cellStyle name="Comma 4" xfId="14" xr:uid="{00000000-0005-0000-0000-000003000000}"/>
    <cellStyle name="Normal" xfId="0" builtinId="0"/>
    <cellStyle name="Normal 2" xfId="2" xr:uid="{00000000-0005-0000-0000-000005000000}"/>
    <cellStyle name="Normal 2 2" xfId="6" xr:uid="{00000000-0005-0000-0000-000006000000}"/>
    <cellStyle name="Normal 2 3" xfId="8" xr:uid="{00000000-0005-0000-0000-000007000000}"/>
    <cellStyle name="Normal 3" xfId="15" xr:uid="{00000000-0005-0000-0000-000008000000}"/>
    <cellStyle name="Normal 4" xfId="3" xr:uid="{00000000-0005-0000-0000-000009000000}"/>
    <cellStyle name="Normal 4 2" xfId="4" xr:uid="{00000000-0005-0000-0000-00000A000000}"/>
    <cellStyle name="Normal 5" xfId="16" xr:uid="{00000000-0005-0000-0000-00000B000000}"/>
    <cellStyle name="Normal 6" xfId="17" xr:uid="{00000000-0005-0000-0000-00000C000000}"/>
    <cellStyle name="Normal_Sheet1" xfId="10" xr:uid="{00000000-0005-0000-0000-00000D000000}"/>
    <cellStyle name="Normal_Sheet3" xfId="9" xr:uid="{00000000-0005-0000-0000-00000E000000}"/>
    <cellStyle name="Percent" xfId="1" builtinId="5"/>
    <cellStyle name="Percent 2" xfId="18" xr:uid="{00000000-0005-0000-0000-000010000000}"/>
    <cellStyle name="Percent 3" xfId="19" xr:uid="{00000000-0005-0000-0000-000011000000}"/>
    <cellStyle name="Percent 3 2" xfId="5" xr:uid="{00000000-0005-0000-0000-000012000000}"/>
    <cellStyle name="Percent 4" xfId="12" xr:uid="{00000000-0005-0000-0000-000013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Drop" dropStyle="combo" dx="16" fmlaLink="BS!$B$2" fmlaRange="BS!$K$1:$K$14" sel="1" val="0"/>
</file>

<file path=xl/ctrlProps/ctrlProp13.xml><?xml version="1.0" encoding="utf-8"?>
<formControlPr xmlns="http://schemas.microsoft.com/office/spreadsheetml/2009/9/main" objectType="Drop" dropStyle="combo" dx="16" fmlaLink="BS!$C$2" fmlaRange="BS!$R$1:$R$15" sel="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Radio" checked="Checked" firstButton="1" lockText="1"/>
</file>

<file path=xl/ctrlProps/ctrlProp16.xml><?xml version="1.0" encoding="utf-8"?>
<formControlPr xmlns="http://schemas.microsoft.com/office/spreadsheetml/2009/9/main" objectType="Radio"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Drop" dropStyle="combo" dx="16" fmlaLink="BS!$D$2" fmlaRange="BS!$S$1:$S$15" sel="1" val="7"/>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Style="combo" dx="16" fmlaLink="BS!$B$3" fmlaRange="BS!$L$1:$L$22" sel="1" val="0"/>
</file>

<file path=xl/ctrlProps/ctrlProp26.xml><?xml version="1.0" encoding="utf-8"?>
<formControlPr xmlns="http://schemas.microsoft.com/office/spreadsheetml/2009/9/main" objectType="Drop" dropStyle="combo" dx="16" fmlaLink="BS!$C$3" fmlaRange="BS!$R$1:$R$15" sel="1" val="0"/>
</file>

<file path=xl/ctrlProps/ctrlProp27.xml><?xml version="1.0" encoding="utf-8"?>
<formControlPr xmlns="http://schemas.microsoft.com/office/spreadsheetml/2009/9/main" objectType="Drop" dropStyle="combo" dx="16" fmlaLink="BS!$E$3" fmlaRange="BS!$AA$1:$AA$135" sel="1" val="0"/>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Radio" checked="Checked" firstButton="1"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Drop" dropStyle="combo" dx="16" fmlaLink="BS!$F$3" fmlaRange="BS!$AB$1:$AB$135" sel="1" val="0"/>
</file>

<file path=xl/ctrlProps/ctrlProp33.xml><?xml version="1.0" encoding="utf-8"?>
<formControlPr xmlns="http://schemas.microsoft.com/office/spreadsheetml/2009/9/main" objectType="Drop" dropStyle="combo" dx="16" fmlaLink="BS!$D$3" fmlaRange="BS!$S$1:$S$15" sel="1" val="7"/>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Drop" dropStyle="combo" dx="16" fmlaLink="BS!$B$4" fmlaRange="BS!$M$1:$M$17" sel="1" val="0"/>
</file>

<file path=xl/ctrlProps/ctrlProp41.xml><?xml version="1.0" encoding="utf-8"?>
<formControlPr xmlns="http://schemas.microsoft.com/office/spreadsheetml/2009/9/main" objectType="Drop" dropStyle="combo" dx="16" fmlaLink="BS!$C$4" fmlaRange="BS!$R$1:$R$15" sel="1" val="0"/>
</file>

<file path=xl/ctrlProps/ctrlProp42.xml><?xml version="1.0" encoding="utf-8"?>
<formControlPr xmlns="http://schemas.microsoft.com/office/spreadsheetml/2009/9/main" objectType="Drop" dropStyle="combo" dx="16" fmlaLink="BS!$E$4" fmlaRange="BS!$AD$1:$AD$135" sel="1" val="0"/>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Radio" checked="Checked" firstButton="1" lockText="1"/>
</file>

<file path=xl/ctrlProps/ctrlProp45.xml><?xml version="1.0" encoding="utf-8"?>
<formControlPr xmlns="http://schemas.microsoft.com/office/spreadsheetml/2009/9/main" objectType="Radio"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Drop" dropStyle="combo" dx="16" fmlaLink="BS!$F$4" fmlaRange="BS!$AE$1:$AE$135" sel="1" val="0"/>
</file>

<file path=xl/ctrlProps/ctrlProp48.xml><?xml version="1.0" encoding="utf-8"?>
<formControlPr xmlns="http://schemas.microsoft.com/office/spreadsheetml/2009/9/main" objectType="Drop" dropStyle="combo" dx="16" fmlaLink="BS!$D$4" fmlaRange="BS!$S$1:$S$15" sel="1" val="0"/>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Drop" dropStyle="combo" dx="16" fmlaLink="BS!$G$4" fmlaRange="BS!$AF$1:$AF$240" sel="1" val="0"/>
</file>

<file path=xl/ctrlProps/ctrlProp55.xml><?xml version="1.0" encoding="utf-8"?>
<formControlPr xmlns="http://schemas.microsoft.com/office/spreadsheetml/2009/9/main" objectType="Drop" dropStyle="combo" dx="16" fmlaLink="BS!$H$4" fmlaRange="BS!$AG$1:$AG$240" sel="1" val="0"/>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368300</xdr:colOff>
          <xdr:row>1</xdr:row>
          <xdr:rowOff>63500</xdr:rowOff>
        </xdr:from>
        <xdr:to>
          <xdr:col>9</xdr:col>
          <xdr:colOff>603250</xdr:colOff>
          <xdr:row>1</xdr:row>
          <xdr:rowOff>488950</xdr:rowOff>
        </xdr:to>
        <xdr:sp macro="" textlink="">
          <xdr:nvSpPr>
            <xdr:cNvPr id="1025" name="Regio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0" anchor="ctr" upright="1"/>
            <a:lstStyle/>
            <a:p>
              <a:pPr algn="ctr" rtl="0">
                <a:defRPr sz="1000"/>
              </a:pPr>
              <a:r>
                <a:rPr lang="en-GB" sz="1200" b="0" i="0" u="none" strike="noStrike" baseline="0">
                  <a:solidFill>
                    <a:srgbClr val="000000"/>
                  </a:solidFill>
                  <a:latin typeface="Calibri"/>
                  <a:ea typeface="Calibri"/>
                  <a:cs typeface="Calibri"/>
                </a:rPr>
                <a:t>Region (Local Office)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711200</xdr:colOff>
          <xdr:row>1</xdr:row>
          <xdr:rowOff>63500</xdr:rowOff>
        </xdr:from>
        <xdr:to>
          <xdr:col>10</xdr:col>
          <xdr:colOff>806450</xdr:colOff>
          <xdr:row>1</xdr:row>
          <xdr:rowOff>488950</xdr:rowOff>
        </xdr:to>
        <xdr:sp macro="" textlink="">
          <xdr:nvSpPr>
            <xdr:cNvPr id="1026" name="Trusts"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Trusts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69850</xdr:colOff>
          <xdr:row>1</xdr:row>
          <xdr:rowOff>63500</xdr:rowOff>
        </xdr:from>
        <xdr:to>
          <xdr:col>12</xdr:col>
          <xdr:colOff>177800</xdr:colOff>
          <xdr:row>1</xdr:row>
          <xdr:rowOff>488950</xdr:rowOff>
        </xdr:to>
        <xdr:sp macro="" textlink="">
          <xdr:nvSpPr>
            <xdr:cNvPr id="1027" name="Site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Sites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107950</xdr:colOff>
          <xdr:row>1</xdr:row>
          <xdr:rowOff>63500</xdr:rowOff>
        </xdr:from>
        <xdr:to>
          <xdr:col>6</xdr:col>
          <xdr:colOff>1035050</xdr:colOff>
          <xdr:row>1</xdr:row>
          <xdr:rowOff>488950</xdr:rowOff>
        </xdr:to>
        <xdr:sp macro="" textlink="">
          <xdr:nvSpPr>
            <xdr:cNvPr id="1028" name="Summary"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0" i="0" u="none" strike="noStrike" baseline="0">
                  <a:solidFill>
                    <a:srgbClr val="000000"/>
                  </a:solidFill>
                  <a:latin typeface="Calibri"/>
                  <a:ea typeface="Calibri"/>
                  <a:cs typeface="Calibri"/>
                </a:rPr>
                <a:t>Summary</a:t>
              </a:r>
            </a:p>
          </xdr:txBody>
        </xdr:sp>
        <xdr:clientData fPrintsWithSheet="0"/>
      </xdr:twoCellAnchor>
    </mc:Choice>
    <mc:Fallback/>
  </mc:AlternateContent>
  <xdr:twoCellAnchor>
    <xdr:from>
      <xdr:col>0</xdr:col>
      <xdr:colOff>0</xdr:colOff>
      <xdr:row>3</xdr:row>
      <xdr:rowOff>34290</xdr:rowOff>
    </xdr:from>
    <xdr:to>
      <xdr:col>13</xdr:col>
      <xdr:colOff>9525</xdr:colOff>
      <xdr:row>14</xdr:row>
      <xdr:rowOff>68581</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0000-000006000000}"/>
            </a:ext>
          </a:extLst>
        </xdr:cNvPr>
        <xdr:cNvSpPr txBox="1"/>
      </xdr:nvSpPr>
      <xdr:spPr>
        <a:xfrm>
          <a:off x="0" y="1017270"/>
          <a:ext cx="11995785" cy="187833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rPr>
            <a:t>What is A&amp;E FFT?</a:t>
          </a:r>
          <a:endParaRPr lang="en-GB" sz="1200">
            <a:effectLst/>
            <a:latin typeface="Times New Roman"/>
            <a:ea typeface="Times New Roman"/>
          </a:endParaRPr>
        </a:p>
        <a:p>
          <a:pPr algn="just">
            <a:lnSpc>
              <a:spcPct val="125000"/>
            </a:lnSpc>
            <a:spcAft>
              <a:spcPts val="1200"/>
            </a:spcAft>
          </a:pPr>
          <a:r>
            <a:rPr lang="en-GB" sz="1200">
              <a:solidFill>
                <a:srgbClr val="000000"/>
              </a:solidFill>
              <a:effectLst/>
              <a:latin typeface="+mn-lt"/>
              <a:ea typeface="Calibri"/>
            </a:rPr>
            <a:t>FFT gives patients the opportunity to submit feedback to providers of NHS funded care or treatment, using a simple question which asks how likely, on a scale ranging from extremely unlikely to extremely likely, they are to recommend the service to their friends and family if they needed similar care or treatment. Type I and II A&amp;E healthcare providers have been required to make the opportunity to provide feedback through the FFT available to their patients since 1 April 2013 and submit data to NHS England each month. On the 1 April 2015 the A&amp;E FFT was expanded to include walk-in-centres/minor injury units and children and young people. Further information can be found on the FFT webpage: </a:t>
          </a:r>
          <a:r>
            <a:rPr lang="en-GB" sz="1200" u="sng">
              <a:solidFill>
                <a:srgbClr val="0000FF"/>
              </a:solidFill>
              <a:effectLst/>
              <a:latin typeface="+mn-lt"/>
              <a:ea typeface="Calibri"/>
              <a:hlinkClick xmlns:r="http://schemas.openxmlformats.org/officeDocument/2006/relationships" r:id=""/>
            </a:rPr>
            <a:t>http://www.england.nhs.uk/ourwork/pe/fft/</a:t>
          </a:r>
          <a:endParaRPr lang="en-GB" sz="1200">
            <a:effectLst/>
            <a:latin typeface="Times New Roman"/>
            <a:ea typeface="Times New Roman"/>
          </a:endParaRPr>
        </a:p>
      </xdr:txBody>
    </xdr:sp>
    <xdr:clientData/>
  </xdr:twoCellAnchor>
  <xdr:twoCellAnchor>
    <xdr:from>
      <xdr:col>0</xdr:col>
      <xdr:colOff>9526</xdr:colOff>
      <xdr:row>12</xdr:row>
      <xdr:rowOff>123824</xdr:rowOff>
    </xdr:from>
    <xdr:to>
      <xdr:col>13</xdr:col>
      <xdr:colOff>28575</xdr:colOff>
      <xdr:row>78</xdr:row>
      <xdr:rowOff>38100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9526" y="2615564"/>
          <a:ext cx="12005309" cy="1097851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ct val="125000"/>
            </a:lnSpc>
            <a:spcAft>
              <a:spcPts val="600"/>
            </a:spcAft>
          </a:pPr>
          <a:r>
            <a:rPr lang="en-GB" sz="1200" b="1">
              <a:solidFill>
                <a:srgbClr val="000000"/>
              </a:solidFill>
              <a:effectLst/>
              <a:latin typeface="+mn-lt"/>
              <a:ea typeface="Calibri"/>
            </a:rPr>
            <a:t>Usage of the data</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Further, anyone attempting to make inferences about trends within specific providers over time should be aware that in addition to any changes in local practices the inclusion of walk-in-centres/minor injury units and children and young people on 1 April 2015 will likely have significantly impacted figures at trust level.</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Monthly data submission process</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Providers of NHS funded A&amp;E services are required to submit data directly to NHS England on a monthly basis. Data is submitted through the UNIFY2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Data inclusion dates</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A&amp;E providers are required to submit their FFT data for the month to NHS England by the 9th working day of each month. This file contains data that has been submitted by this deadline.</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Breakdown</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Data is submitted at site level. Walk-in-centres/minor injury unit activity is submitted as one item at site level.</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Response rate</a:t>
          </a:r>
          <a:endParaRPr lang="en-GB" sz="1200">
            <a:effectLst/>
            <a:latin typeface="Times New Roman"/>
            <a:ea typeface="Times New Roman"/>
          </a:endParaRPr>
        </a:p>
        <a:p>
          <a:pPr algn="just">
            <a:lnSpc>
              <a:spcPct val="125000"/>
            </a:lnSpc>
            <a:spcAft>
              <a:spcPts val="1200"/>
            </a:spcAft>
          </a:pPr>
          <a:r>
            <a:rPr lang="en-GB" sz="1200">
              <a:solidFill>
                <a:srgbClr val="000000"/>
              </a:solidFill>
              <a:effectLst/>
              <a:latin typeface="+mn-lt"/>
              <a:ea typeface="Calibri"/>
            </a:rPr>
            <a:t>Some organisations’ data may include response rates of greater than 100%. This occurs when responses relating to discharges in one month are received by organisations too late for that month’s submission and are submitted as part of the return in the following month. Patients/Carers/Family members may also choose to submit responses at multiple points during a period of care/treatment resulting in multiple submissions to the same month.</a:t>
          </a:r>
          <a:endParaRPr lang="en-GB" sz="1200">
            <a:effectLst/>
            <a:latin typeface="Times New Roman"/>
            <a:ea typeface="Times New Roman"/>
          </a:endParaRPr>
        </a:p>
        <a:p>
          <a:pPr algn="just">
            <a:lnSpc>
              <a:spcPct val="125000"/>
            </a:lnSpc>
            <a:spcAft>
              <a:spcPts val="1200"/>
            </a:spcAft>
          </a:pPr>
          <a:r>
            <a:rPr lang="en-GB" sz="1200" b="1">
              <a:solidFill>
                <a:srgbClr val="000000"/>
              </a:solidFill>
              <a:effectLst/>
              <a:latin typeface="+mn-lt"/>
              <a:ea typeface="Calibri"/>
            </a:rPr>
            <a:t>Organisations with data suppressed</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rPr>
            <a:t>If an organisation or one of its sub-units has less than five responses the data will be supressed with an asterisk (*) to protect against the possible risk of disclosure. To prevent suppressed figures being deduced using totals, secondary suppression of other figures is also carried out.</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Key</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mn-ea"/>
            </a:rPr>
            <a:t>LO is an abbreviation for 'Local Office'</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mn-ea"/>
            </a:rPr>
            <a:t>'-' indicates that a percentage could not be calculated as the data is supressed.</a:t>
          </a:r>
          <a:endParaRPr lang="en-GB" sz="1200">
            <a:effectLst/>
            <a:latin typeface="Times New Roman"/>
            <a:ea typeface="Times New Roman"/>
          </a:endParaRPr>
        </a:p>
        <a:p>
          <a:pPr>
            <a:lnSpc>
              <a:spcPct val="125000"/>
            </a:lnSpc>
            <a:spcAft>
              <a:spcPts val="600"/>
            </a:spcAft>
          </a:pPr>
          <a:r>
            <a:rPr lang="en-GB" sz="1200" b="1">
              <a:solidFill>
                <a:srgbClr val="000000"/>
              </a:solidFill>
              <a:effectLst/>
              <a:latin typeface="+mn-lt"/>
              <a:ea typeface="Calibri"/>
            </a:rPr>
            <a:t>Contact</a:t>
          </a:r>
          <a:endParaRPr lang="en-GB" sz="1200">
            <a:effectLst/>
            <a:latin typeface="Times New Roman"/>
            <a:ea typeface="Times New Roman"/>
          </a:endParaRPr>
        </a:p>
        <a:p>
          <a:pPr>
            <a:lnSpc>
              <a:spcPct val="125000"/>
            </a:lnSpc>
            <a:spcAft>
              <a:spcPts val="1200"/>
            </a:spcAft>
          </a:pPr>
          <a:r>
            <a:rPr lang="en-GB" sz="1200">
              <a:solidFill>
                <a:srgbClr val="000000"/>
              </a:solidFill>
              <a:effectLst/>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endParaRPr lang="en-GB" sz="1200">
            <a:effectLst/>
            <a:latin typeface="+mn-lt"/>
            <a:ea typeface="Calibri"/>
            <a:cs typeface="Times New Roman"/>
          </a:endParaRPr>
        </a:p>
        <a:p>
          <a:pPr>
            <a:lnSpc>
              <a:spcPct val="125000"/>
            </a:lnSpc>
            <a:spcAft>
              <a:spcPts val="1200"/>
            </a:spcAft>
          </a:pPr>
          <a:r>
            <a:rPr lang="en-GB" sz="1200">
              <a:solidFill>
                <a:srgbClr val="000000"/>
              </a:solidFill>
              <a:effectLst/>
              <a:latin typeface="+mn-lt"/>
              <a:ea typeface="Calibri"/>
              <a:cs typeface="Times New Roman"/>
            </a:rPr>
            <a:t>For press queries, please e-mail the NHS England media team at: nhscb.media@nhs.net</a:t>
          </a:r>
          <a:endParaRPr lang="en-GB" sz="1200" u="sng">
            <a:solidFill>
              <a:srgbClr val="0000FF"/>
            </a:solidFill>
            <a:effectLst/>
            <a:latin typeface="+mn-lt"/>
            <a:ea typeface="Calibri"/>
            <a:cs typeface="Times New Roman"/>
          </a:endParaRPr>
        </a:p>
      </xdr:txBody>
    </xdr:sp>
    <xdr:clientData/>
  </xdr:twoCellAnchor>
  <mc:AlternateContent xmlns:mc="http://schemas.openxmlformats.org/markup-compatibility/2006">
    <mc:Choice xmlns:a14="http://schemas.microsoft.com/office/drawing/2010/main" Requires="a14">
      <xdr:twoCellAnchor>
        <xdr:from>
          <xdr:col>10</xdr:col>
          <xdr:colOff>527050</xdr:colOff>
          <xdr:row>2</xdr:row>
          <xdr:rowOff>101600</xdr:rowOff>
        </xdr:from>
        <xdr:to>
          <xdr:col>12</xdr:col>
          <xdr:colOff>177800</xdr:colOff>
          <xdr:row>3</xdr:row>
          <xdr:rowOff>114300</xdr:rowOff>
        </xdr:to>
        <xdr:sp macro="" textlink="">
          <xdr:nvSpPr>
            <xdr:cNvPr id="1029" name="CSV"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Create CSV Files</a:t>
              </a:r>
            </a:p>
          </xdr:txBody>
        </xdr:sp>
        <xdr:clientData fPrintsWithSheet="0"/>
      </xdr:twoCellAnchor>
    </mc:Choice>
    <mc:Fallback/>
  </mc:AlternateContent>
  <xdr:twoCellAnchor>
    <xdr:from>
      <xdr:col>6</xdr:col>
      <xdr:colOff>657225</xdr:colOff>
      <xdr:row>2</xdr:row>
      <xdr:rowOff>78105</xdr:rowOff>
    </xdr:from>
    <xdr:to>
      <xdr:col>10</xdr:col>
      <xdr:colOff>459104</xdr:colOff>
      <xdr:row>4</xdr:row>
      <xdr:rowOff>0</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6837045" y="710565"/>
          <a:ext cx="3596639" cy="440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36000" bIns="36000" rtlCol="0" anchor="t"/>
        <a:lstStyle/>
        <a:p>
          <a:pPr algn="r"/>
          <a:r>
            <a:rPr lang="en-GB" sz="1200"/>
            <a:t>  To create .csv files containing the data, click on:</a:t>
          </a:r>
        </a:p>
        <a:p>
          <a:pPr algn="r"/>
          <a:r>
            <a:rPr lang="en-GB" sz="1000"/>
            <a:t>(please save this file to your computer before running this macro)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893445</xdr:colOff>
      <xdr:row>1</xdr:row>
      <xdr:rowOff>390525</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654050" y="76200"/>
          <a:ext cx="11586845" cy="390525"/>
          <a:chOff x="619125" y="76200"/>
          <a:chExt cx="11068050" cy="390525"/>
        </a:xfrm>
      </xdr:grpSpPr>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2049" name="Site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2050" name="Notes"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2051" name="Region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4648200" y="142875"/>
                <a:ext cx="155257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Region (Local Office)</a:t>
                </a:r>
              </a:p>
            </xdr:txBody>
          </xdr:sp>
        </mc:Choice>
        <mc:Fallback/>
      </mc:AlternateContent>
      <mc:AlternateContent xmlns:mc="http://schemas.openxmlformats.org/markup-compatibility/2006">
        <mc:Choice xmlns:a14="http://schemas.microsoft.com/office/drawing/2010/main" Requires="a14">
          <xdr:sp macro="" textlink="">
            <xdr:nvSpPr>
              <xdr:cNvPr id="2052" name="Trusts"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2053" name="Summar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Summary</a:t>
                </a:r>
              </a:p>
            </xdr:txBody>
          </xdr:sp>
        </mc:Choice>
        <mc:Fallback/>
      </mc:AlternateContent>
      <xdr:sp macro="" textlink="">
        <xdr:nvSpPr>
          <xdr:cNvPr id="9" name="Rectangle 8">
            <a:extLst>
              <a:ext uri="{FF2B5EF4-FFF2-40B4-BE49-F238E27FC236}">
                <a16:creationId xmlns:a16="http://schemas.microsoft.com/office/drawing/2014/main" id="{00000000-0008-0000-0100-000009000000}"/>
              </a:ext>
            </a:extLst>
          </xdr:cNvPr>
          <xdr:cNvSpPr/>
        </xdr:nvSpPr>
        <xdr:spPr>
          <a:xfrm>
            <a:off x="619125" y="76200"/>
            <a:ext cx="11068050" cy="390525"/>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57150</xdr:colOff>
      <xdr:row>1</xdr:row>
      <xdr:rowOff>1228050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654050" y="76200"/>
          <a:ext cx="11563350" cy="1228050"/>
          <a:chOff x="619125" y="76200"/>
          <a:chExt cx="11068050" cy="122805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                  -</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a:p>
            <a:pPr algn="l"/>
            <a:endParaRPr lang="en-GB" sz="1300">
              <a:latin typeface="+mn-lt"/>
            </a:endParaRPr>
          </a:p>
        </xdr:txBody>
      </xdr:sp>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3073" name="Sites"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3074" name="Drop Down Sort"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Cod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Sort"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77" name="Low"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8" name="High"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9" name="Notes"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3080" name="Region name"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Region (LO):</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 </a:t>
            </a:r>
            <a:r>
              <a:rPr lang="en-GB" sz="1300" baseline="0">
                <a:latin typeface="+mn-lt"/>
              </a:rPr>
              <a:t>                     </a:t>
            </a:r>
            <a:endParaRPr lang="en-GB" sz="1300">
              <a:latin typeface="+mn-lt"/>
            </a:endParaRPr>
          </a:p>
        </xdr:txBody>
      </xdr:sp>
      <mc:AlternateContent xmlns:mc="http://schemas.openxmlformats.org/markup-compatibility/2006">
        <mc:Choice xmlns:a14="http://schemas.microsoft.com/office/drawing/2010/main" Requires="a14">
          <xdr:sp macro="" textlink="">
            <xdr:nvSpPr>
              <xdr:cNvPr id="3081" name="Rese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82" name="Filter"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3" name="Regions"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4648200" y="142875"/>
                <a:ext cx="155257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Region (Local Office)</a:t>
                </a:r>
              </a:p>
            </xdr:txBody>
          </xdr:sp>
        </mc:Choice>
        <mc:Fallback/>
      </mc:AlternateContent>
      <mc:AlternateContent xmlns:mc="http://schemas.openxmlformats.org/markup-compatibility/2006">
        <mc:Choice xmlns:a14="http://schemas.microsoft.com/office/drawing/2010/main" Requires="a14">
          <xdr:sp macro="" textlink="">
            <xdr:nvSpPr>
              <xdr:cNvPr id="3084" name="Trusts"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3085" name="Summary"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20" name="Rectangle 19">
            <a:extLst>
              <a:ext uri="{FF2B5EF4-FFF2-40B4-BE49-F238E27FC236}">
                <a16:creationId xmlns:a16="http://schemas.microsoft.com/office/drawing/2014/main" id="{00000000-0008-0000-0200-000014000000}"/>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21" name="Straight Connector 20">
            <a:extLst>
              <a:ext uri="{FF2B5EF4-FFF2-40B4-BE49-F238E27FC236}">
                <a16:creationId xmlns:a16="http://schemas.microsoft.com/office/drawing/2014/main" id="{00000000-0008-0000-0200-000015000000}"/>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57150</xdr:colOff>
      <xdr:row>1</xdr:row>
      <xdr:rowOff>1228050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654050" y="76200"/>
          <a:ext cx="11576050" cy="1228050"/>
          <a:chOff x="619125" y="76200"/>
          <a:chExt cx="11068050" cy="1228050"/>
        </a:xfrm>
      </xdr:grpSpPr>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162800" y="476250"/>
            <a:ext cx="142192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300" baseline="0">
                <a:solidFill>
                  <a:schemeClr val="dk1"/>
                </a:solidFill>
                <a:effectLst/>
                <a:latin typeface="+mn-lt"/>
                <a:ea typeface="+mn-ea"/>
                <a:cs typeface="+mn-cs"/>
              </a:rPr>
              <a:t>NA                  NA</a:t>
            </a:r>
          </a:p>
          <a:p>
            <a:pPr algn="l"/>
            <a:endParaRPr lang="en-GB" sz="3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GB" sz="1300" baseline="0">
                <a:solidFill>
                  <a:schemeClr val="dk1"/>
                </a:solidFill>
                <a:effectLst/>
                <a:latin typeface="+mn-lt"/>
                <a:ea typeface="+mn-ea"/>
                <a:cs typeface="+mn-cs"/>
              </a:rPr>
              <a:t>NA                  NA</a:t>
            </a:r>
            <a:endParaRPr lang="en-GB" sz="1300">
              <a:effectLst/>
            </a:endParaRPr>
          </a:p>
          <a:p>
            <a:pPr marL="0" marR="0" indent="0" algn="r" defTabSz="914400" eaLnBrk="1" fontAlgn="auto" latinLnBrk="0" hangingPunct="1">
              <a:lnSpc>
                <a:spcPct val="100000"/>
              </a:lnSpc>
              <a:spcBef>
                <a:spcPts val="0"/>
              </a:spcBef>
              <a:spcAft>
                <a:spcPts val="0"/>
              </a:spcAft>
              <a:buClrTx/>
              <a:buSzTx/>
              <a:buFontTx/>
              <a:buNone/>
              <a:tabLst/>
              <a:defRPr/>
            </a:pPr>
            <a:endParaRPr lang="en-GB" sz="3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GB" sz="1300" b="0" i="0" u="none" strike="noStrike" kern="0" cap="none" spc="0" normalizeH="0" baseline="0" noProof="0">
                <a:ln>
                  <a:noFill/>
                </a:ln>
                <a:solidFill>
                  <a:prstClr val="black"/>
                </a:solidFill>
                <a:effectLst/>
                <a:uLnTx/>
                <a:uFillTx/>
                <a:latin typeface="+mn-lt"/>
                <a:ea typeface="+mn-ea"/>
                <a:cs typeface="+mn-cs"/>
              </a:rPr>
              <a:t>-                  -</a:t>
            </a:r>
          </a:p>
        </xdr:txBody>
      </xdr:sp>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286125" y="114300"/>
            <a:ext cx="816292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4097" name="Site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7353300"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4098" name="Drop Down Sor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2000251" y="590550"/>
                <a:ext cx="1714500"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Cod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7048500" y="514350"/>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Trust Code"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7048500" y="771525"/>
                <a:ext cx="82867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1" name="Sort"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933825" y="752475"/>
                <a:ext cx="7715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2" name="Low"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2019300" y="876300"/>
                <a:ext cx="5905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3" name="High"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2905125" y="876300"/>
                <a:ext cx="74295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4" name="Notes"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933450"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4105" name="Trust name"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7915275" y="771525"/>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6" name="Region nam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7915275" y="514350"/>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5" name="TextBox 14">
            <a:extLst>
              <a:ext uri="{FF2B5EF4-FFF2-40B4-BE49-F238E27FC236}">
                <a16:creationId xmlns:a16="http://schemas.microsoft.com/office/drawing/2014/main" id="{00000000-0008-0000-0300-00000F000000}"/>
              </a:ext>
            </a:extLst>
          </xdr:cNvPr>
          <xdr:cNvSpPr txBox="1"/>
        </xdr:nvSpPr>
        <xdr:spPr>
          <a:xfrm>
            <a:off x="4762500" y="476250"/>
            <a:ext cx="2279177"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Region (LO):</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4107" name="Reset"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10629900" y="923925"/>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8" name="Filter"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629900" y="590550"/>
                <a:ext cx="733425"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9" name="Region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4648200" y="142875"/>
                <a:ext cx="155257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Region (Local Office)</a:t>
                </a:r>
              </a:p>
            </xdr:txBody>
          </xdr:sp>
        </mc:Choice>
        <mc:Fallback/>
      </mc:AlternateContent>
      <mc:AlternateContent xmlns:mc="http://schemas.openxmlformats.org/markup-compatibility/2006">
        <mc:Choice xmlns:a14="http://schemas.microsoft.com/office/drawing/2010/main" Requires="a14">
          <xdr:sp macro="" textlink="">
            <xdr:nvSpPr>
              <xdr:cNvPr id="4110" name="Trusts"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6329363" y="142875"/>
                <a:ext cx="895350"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4111" name="Summary"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2000249" y="142875"/>
                <a:ext cx="88582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742949" y="714375"/>
            <a:ext cx="1145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22" name="Rectangle 21">
            <a:extLst>
              <a:ext uri="{FF2B5EF4-FFF2-40B4-BE49-F238E27FC236}">
                <a16:creationId xmlns:a16="http://schemas.microsoft.com/office/drawing/2014/main" id="{00000000-0008-0000-0300-000016000000}"/>
              </a:ext>
            </a:extLst>
          </xdr:cNvPr>
          <xdr:cNvSpPr/>
        </xdr:nvSpPr>
        <xdr:spPr>
          <a:xfrm>
            <a:off x="619125" y="76200"/>
            <a:ext cx="11068050"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23" name="Straight Connector 22">
            <a:extLst>
              <a:ext uri="{FF2B5EF4-FFF2-40B4-BE49-F238E27FC236}">
                <a16:creationId xmlns:a16="http://schemas.microsoft.com/office/drawing/2014/main" id="{00000000-0008-0000-0300-000017000000}"/>
              </a:ext>
            </a:extLst>
          </xdr:cNvPr>
          <xdr:cNvCxnSpPr/>
        </xdr:nvCxnSpPr>
        <xdr:spPr>
          <a:xfrm flipH="1">
            <a:off x="628650" y="466725"/>
            <a:ext cx="11058525"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10</xdr:col>
      <xdr:colOff>85725</xdr:colOff>
      <xdr:row>1</xdr:row>
      <xdr:rowOff>1228050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654050" y="76200"/>
          <a:ext cx="11572875" cy="1228050"/>
          <a:chOff x="619125" y="71438"/>
          <a:chExt cx="11063288" cy="1228050"/>
        </a:xfrm>
      </xdr:grpSpPr>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3284978" y="109538"/>
            <a:ext cx="8159413"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Show data for:				      </a:t>
            </a:r>
            <a:r>
              <a:rPr lang="en-GB" sz="1200">
                <a:solidFill>
                  <a:schemeClr val="dk1"/>
                </a:solidFill>
                <a:effectLst/>
                <a:latin typeface="+mn-lt"/>
                <a:ea typeface="+mn-ea"/>
                <a:cs typeface="+mn-cs"/>
              </a:rPr>
              <a:t>(Collection mode data is shown with Trusts data)</a:t>
            </a:r>
            <a:endParaRPr lang="en-GB" sz="1200">
              <a:latin typeface="+mn-lt"/>
            </a:endParaRPr>
          </a:p>
        </xdr:txBody>
      </xdr:sp>
      <mc:AlternateContent xmlns:mc="http://schemas.openxmlformats.org/markup-compatibility/2006">
        <mc:Choice xmlns:a14="http://schemas.microsoft.com/office/drawing/2010/main" Requires="a14">
          <xdr:sp macro="" textlink="">
            <xdr:nvSpPr>
              <xdr:cNvPr id="5121" name="Sites"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7350403" y="138113"/>
                <a:ext cx="89496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sng" strike="noStrike" baseline="0">
                    <a:solidFill>
                      <a:srgbClr val="000000"/>
                    </a:solidFill>
                    <a:latin typeface="Arial"/>
                    <a:cs typeface="Arial"/>
                  </a:rPr>
                  <a:t>Sites</a:t>
                </a:r>
              </a:p>
            </xdr:txBody>
          </xdr:sp>
        </mc:Choice>
        <mc:Fallback/>
      </mc:AlternateContent>
      <mc:AlternateContent xmlns:mc="http://schemas.openxmlformats.org/markup-compatibility/2006">
        <mc:Choice xmlns:a14="http://schemas.microsoft.com/office/drawing/2010/main" Requires="a14">
          <xdr:sp macro="" textlink="">
            <xdr:nvSpPr>
              <xdr:cNvPr id="5122" name="Drop Down Sort"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1999657" y="585788"/>
                <a:ext cx="1713762" cy="2571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Cod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7045734" y="509588"/>
                <a:ext cx="828318"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Trust Code"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7045734" y="766763"/>
                <a:ext cx="828318"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5" name="Sort"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932399" y="747713"/>
                <a:ext cx="771193"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6" name="Low"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2018698" y="871538"/>
                <a:ext cx="590296"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7" name="High"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2904141" y="871538"/>
                <a:ext cx="742630"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8" name="Notes"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933315" y="138113"/>
                <a:ext cx="885444"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Notes</a:t>
                </a:r>
              </a:p>
            </xdr:txBody>
          </xdr:sp>
        </mc:Choice>
        <mc:Fallback/>
      </mc:AlternateContent>
      <mc:AlternateContent xmlns:mc="http://schemas.openxmlformats.org/markup-compatibility/2006">
        <mc:Choice xmlns:a14="http://schemas.microsoft.com/office/drawing/2010/main" Requires="a14">
          <xdr:sp macro="" textlink="">
            <xdr:nvSpPr>
              <xdr:cNvPr id="5129" name="Trust name"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7912136" y="766763"/>
                <a:ext cx="2523039"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0" name="Region nam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7912136" y="509588"/>
                <a:ext cx="2523039" cy="219075"/>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14" name="TextBox 13">
            <a:extLst>
              <a:ext uri="{FF2B5EF4-FFF2-40B4-BE49-F238E27FC236}">
                <a16:creationId xmlns:a16="http://schemas.microsoft.com/office/drawing/2014/main" id="{00000000-0008-0000-0400-00000E000000}"/>
              </a:ext>
            </a:extLst>
          </xdr:cNvPr>
          <xdr:cNvSpPr txBox="1"/>
        </xdr:nvSpPr>
        <xdr:spPr>
          <a:xfrm>
            <a:off x="4760717" y="471488"/>
            <a:ext cx="2278196" cy="82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aseline="0">
                <a:solidFill>
                  <a:schemeClr val="dk1"/>
                </a:solidFill>
                <a:effectLst/>
                <a:latin typeface="+mn-lt"/>
                <a:ea typeface="+mn-ea"/>
                <a:cs typeface="+mn-cs"/>
              </a:rPr>
              <a:t>Region (LO):</a:t>
            </a:r>
          </a:p>
          <a:p>
            <a:pPr algn="r"/>
            <a:endParaRPr lang="en-GB" sz="300">
              <a:effectLst/>
            </a:endParaRPr>
          </a:p>
          <a:p>
            <a:pPr algn="r"/>
            <a:r>
              <a:rPr lang="en-GB" sz="1300" baseline="0">
                <a:solidFill>
                  <a:schemeClr val="dk1"/>
                </a:solidFill>
                <a:effectLst/>
                <a:latin typeface="+mn-lt"/>
                <a:ea typeface="+mn-ea"/>
                <a:cs typeface="+mn-cs"/>
              </a:rPr>
              <a:t>Filter data by -               Trust:</a:t>
            </a:r>
          </a:p>
          <a:p>
            <a:pPr algn="r"/>
            <a:endParaRPr lang="en-GB" sz="300">
              <a:effectLst/>
            </a:endParaRPr>
          </a:p>
          <a:p>
            <a:pPr algn="r"/>
            <a:r>
              <a:rPr lang="en-GB" sz="1300" baseline="0">
                <a:solidFill>
                  <a:schemeClr val="dk1"/>
                </a:solidFill>
                <a:effectLst/>
                <a:latin typeface="+mn-lt"/>
                <a:ea typeface="+mn-ea"/>
                <a:cs typeface="+mn-cs"/>
              </a:rPr>
              <a:t>Site:</a:t>
            </a:r>
            <a:endParaRPr lang="en-GB" sz="1300">
              <a:latin typeface="+mn-lt"/>
            </a:endParaRPr>
          </a:p>
        </xdr:txBody>
      </xdr:sp>
      <mc:AlternateContent xmlns:mc="http://schemas.openxmlformats.org/markup-compatibility/2006">
        <mc:Choice xmlns:a14="http://schemas.microsoft.com/office/drawing/2010/main" Requires="a14">
          <xdr:sp macro="" textlink="">
            <xdr:nvSpPr>
              <xdr:cNvPr id="5131" name="Reset"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10625593" y="919163"/>
                <a:ext cx="733109"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32" name="Filter"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0625593" y="585788"/>
                <a:ext cx="733109" cy="257175"/>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33" name="Regions"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4646467" y="138113"/>
                <a:ext cx="1551907"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Region (Local Office)</a:t>
                </a:r>
              </a:p>
            </xdr:txBody>
          </xdr:sp>
        </mc:Choice>
        <mc:Fallback/>
      </mc:AlternateContent>
      <mc:AlternateContent xmlns:mc="http://schemas.openxmlformats.org/markup-compatibility/2006">
        <mc:Choice xmlns:a14="http://schemas.microsoft.com/office/drawing/2010/main" Requires="a14">
          <xdr:sp macro="" textlink="">
            <xdr:nvSpPr>
              <xdr:cNvPr id="5134" name="Trusts"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6326906" y="138113"/>
                <a:ext cx="894965"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Trusts</a:t>
                </a:r>
              </a:p>
            </xdr:txBody>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1999655" y="138113"/>
                <a:ext cx="885444" cy="257175"/>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Summary</a:t>
                </a:r>
              </a:p>
            </xdr:txBody>
          </xdr:sp>
        </mc:Choice>
        <mc:Fallback/>
      </mc:AlternateContent>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742896" y="709613"/>
            <a:ext cx="1145208"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a:solidFill>
                  <a:schemeClr val="dk1"/>
                </a:solidFill>
                <a:effectLst/>
                <a:latin typeface="+mn-lt"/>
                <a:ea typeface="+mn-ea"/>
                <a:cs typeface="+mn-cs"/>
              </a:rPr>
              <a:t>Sort data by:</a:t>
            </a:r>
            <a:endParaRPr lang="en-GB" sz="1300">
              <a:latin typeface="+mn-lt"/>
            </a:endParaRPr>
          </a:p>
        </xdr:txBody>
      </xdr:sp>
      <xdr:sp macro="" textlink="">
        <xdr:nvSpPr>
          <xdr:cNvPr id="21" name="Rectangle 20">
            <a:extLst>
              <a:ext uri="{FF2B5EF4-FFF2-40B4-BE49-F238E27FC236}">
                <a16:creationId xmlns:a16="http://schemas.microsoft.com/office/drawing/2014/main" id="{00000000-0008-0000-0400-000015000000}"/>
              </a:ext>
            </a:extLst>
          </xdr:cNvPr>
          <xdr:cNvSpPr/>
        </xdr:nvSpPr>
        <xdr:spPr>
          <a:xfrm>
            <a:off x="619125" y="71438"/>
            <a:ext cx="11063288" cy="1219200"/>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22" name="Straight Connector 21">
            <a:extLst>
              <a:ext uri="{FF2B5EF4-FFF2-40B4-BE49-F238E27FC236}">
                <a16:creationId xmlns:a16="http://schemas.microsoft.com/office/drawing/2014/main" id="{00000000-0008-0000-0400-000016000000}"/>
              </a:ext>
            </a:extLst>
          </xdr:cNvPr>
          <xdr:cNvCxnSpPr/>
        </xdr:nvCxnSpPr>
        <xdr:spPr>
          <a:xfrm flipH="1">
            <a:off x="628646" y="461963"/>
            <a:ext cx="11053767" cy="0"/>
          </a:xfrm>
          <a:prstGeom prst="line">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6" name="Site Code"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7046119" y="1023938"/>
                <a:ext cx="82629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7" name="Site Name"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7910513" y="1023938"/>
                <a:ext cx="2524125" cy="219075"/>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trlProp" Target="../ctrlProps/ctrlProp20.xml"/><Relationship Id="rId3" Type="http://schemas.openxmlformats.org/officeDocument/2006/relationships/vmlDrawing" Target="../drawings/vmlDrawing3.v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drawing" Target="../drawings/drawing3.xml"/><Relationship Id="rId16" Type="http://schemas.openxmlformats.org/officeDocument/2006/relationships/ctrlProp" Target="../ctrlProps/ctrlProp23.xml"/><Relationship Id="rId1" Type="http://schemas.openxmlformats.org/officeDocument/2006/relationships/printerSettings" Target="../printerSettings/printerSettings2.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5" Type="http://schemas.openxmlformats.org/officeDocument/2006/relationships/ctrlProp" Target="../ctrlProps/ctrlProp2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 Id="rId1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8.xml"/><Relationship Id="rId13" Type="http://schemas.openxmlformats.org/officeDocument/2006/relationships/ctrlProp" Target="../ctrlProps/ctrlProp33.xml"/><Relationship Id="rId18" Type="http://schemas.openxmlformats.org/officeDocument/2006/relationships/ctrlProp" Target="../ctrlProps/ctrlProp38.xml"/><Relationship Id="rId3" Type="http://schemas.openxmlformats.org/officeDocument/2006/relationships/vmlDrawing" Target="../drawings/vmlDrawing4.vml"/><Relationship Id="rId7" Type="http://schemas.openxmlformats.org/officeDocument/2006/relationships/ctrlProp" Target="../ctrlProps/ctrlProp27.xml"/><Relationship Id="rId12" Type="http://schemas.openxmlformats.org/officeDocument/2006/relationships/ctrlProp" Target="../ctrlProps/ctrlProp32.xml"/><Relationship Id="rId17" Type="http://schemas.openxmlformats.org/officeDocument/2006/relationships/ctrlProp" Target="../ctrlProps/ctrlProp37.xml"/><Relationship Id="rId2" Type="http://schemas.openxmlformats.org/officeDocument/2006/relationships/drawing" Target="../drawings/drawing4.xml"/><Relationship Id="rId16" Type="http://schemas.openxmlformats.org/officeDocument/2006/relationships/ctrlProp" Target="../ctrlProps/ctrlProp36.xml"/><Relationship Id="rId1" Type="http://schemas.openxmlformats.org/officeDocument/2006/relationships/printerSettings" Target="../printerSettings/printerSettings3.bin"/><Relationship Id="rId6" Type="http://schemas.openxmlformats.org/officeDocument/2006/relationships/ctrlProp" Target="../ctrlProps/ctrlProp26.xml"/><Relationship Id="rId11" Type="http://schemas.openxmlformats.org/officeDocument/2006/relationships/ctrlProp" Target="../ctrlProps/ctrlProp31.xml"/><Relationship Id="rId5" Type="http://schemas.openxmlformats.org/officeDocument/2006/relationships/ctrlProp" Target="../ctrlProps/ctrlProp25.xml"/><Relationship Id="rId15" Type="http://schemas.openxmlformats.org/officeDocument/2006/relationships/ctrlProp" Target="../ctrlProps/ctrlProp35.xml"/><Relationship Id="rId10" Type="http://schemas.openxmlformats.org/officeDocument/2006/relationships/ctrlProp" Target="../ctrlProps/ctrlProp30.xml"/><Relationship Id="rId4" Type="http://schemas.openxmlformats.org/officeDocument/2006/relationships/ctrlProp" Target="../ctrlProps/ctrlProp24.xml"/><Relationship Id="rId9" Type="http://schemas.openxmlformats.org/officeDocument/2006/relationships/ctrlProp" Target="../ctrlProps/ctrlProp29.xml"/><Relationship Id="rId14" Type="http://schemas.openxmlformats.org/officeDocument/2006/relationships/ctrlProp" Target="../ctrlProps/ctrlProp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20" Type="http://schemas.openxmlformats.org/officeDocument/2006/relationships/ctrlProp" Target="../ctrlProps/ctrlProp5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19" Type="http://schemas.openxmlformats.org/officeDocument/2006/relationships/ctrlProp" Target="../ctrlProps/ctrlProp54.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theme="3" tint="0.59999389629810485"/>
  </sheetPr>
  <dimension ref="A1:S3"/>
  <sheetViews>
    <sheetView tabSelected="1" workbookViewId="0"/>
  </sheetViews>
  <sheetFormatPr defaultColWidth="9.08984375" defaultRowHeight="12.5" x14ac:dyDescent="0.25"/>
  <cols>
    <col min="1" max="1" width="2.08984375" style="1" customWidth="1"/>
    <col min="2" max="4" width="20.6328125" style="1" customWidth="1"/>
    <col min="5" max="5" width="23" style="1" customWidth="1"/>
    <col min="6" max="6" width="3" style="1" customWidth="1"/>
    <col min="7" max="7" width="17.36328125" style="1" customWidth="1"/>
    <col min="8" max="12" width="12.6328125" style="1" customWidth="1"/>
    <col min="13" max="13" width="4" style="1" customWidth="1"/>
    <col min="14" max="19" width="12.6328125" style="1" customWidth="1"/>
    <col min="20" max="16384" width="9.08984375" style="7"/>
  </cols>
  <sheetData>
    <row r="1" spans="1:13" ht="8.25" customHeight="1" thickBot="1" x14ac:dyDescent="0.3"/>
    <row r="2" spans="1:13" s="1" customFormat="1" ht="42" customHeight="1" thickBot="1" x14ac:dyDescent="0.4">
      <c r="A2" s="2"/>
      <c r="B2" s="100" t="s">
        <v>0</v>
      </c>
      <c r="C2" s="100"/>
      <c r="D2" s="100"/>
      <c r="E2" s="100"/>
      <c r="G2" s="3"/>
      <c r="H2" s="3" t="s">
        <v>1</v>
      </c>
      <c r="I2" s="4"/>
      <c r="J2" s="4"/>
      <c r="K2" s="4"/>
      <c r="L2" s="4"/>
      <c r="M2" s="5"/>
    </row>
    <row r="3" spans="1:13" s="1" customFormat="1" ht="27.65" customHeight="1" x14ac:dyDescent="0.25">
      <c r="A3" s="6"/>
    </row>
  </sheetData>
  <mergeCells count="1">
    <mergeCell ref="B2:E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Regions">
              <controlPr defaultSize="0" print="0" autoFill="0" autoPict="0" macro="[0]!regionsheet">
                <anchor moveWithCells="1" sizeWithCells="1">
                  <from>
                    <xdr:col>8</xdr:col>
                    <xdr:colOff>368300</xdr:colOff>
                    <xdr:row>1</xdr:row>
                    <xdr:rowOff>63500</xdr:rowOff>
                  </from>
                  <to>
                    <xdr:col>9</xdr:col>
                    <xdr:colOff>603250</xdr:colOff>
                    <xdr:row>1</xdr:row>
                    <xdr:rowOff>488950</xdr:rowOff>
                  </to>
                </anchor>
              </controlPr>
            </control>
          </mc:Choice>
        </mc:AlternateContent>
        <mc:AlternateContent xmlns:mc="http://schemas.openxmlformats.org/markup-compatibility/2006">
          <mc:Choice Requires="x14">
            <control shapeId="1026" r:id="rId4" name="Trusts">
              <controlPr defaultSize="0" print="0" autoFill="0" autoPict="0" macro="[0]!trustssheet">
                <anchor moveWithCells="1" sizeWithCells="1">
                  <from>
                    <xdr:col>9</xdr:col>
                    <xdr:colOff>711200</xdr:colOff>
                    <xdr:row>1</xdr:row>
                    <xdr:rowOff>63500</xdr:rowOff>
                  </from>
                  <to>
                    <xdr:col>10</xdr:col>
                    <xdr:colOff>806450</xdr:colOff>
                    <xdr:row>1</xdr:row>
                    <xdr:rowOff>488950</xdr:rowOff>
                  </to>
                </anchor>
              </controlPr>
            </control>
          </mc:Choice>
        </mc:AlternateContent>
        <mc:AlternateContent xmlns:mc="http://schemas.openxmlformats.org/markup-compatibility/2006">
          <mc:Choice Requires="x14">
            <control shapeId="1027" r:id="rId5" name="Sites">
              <controlPr defaultSize="0" print="0" autoFill="0" autoPict="0" macro="[0]!Sitessheet">
                <anchor moveWithCells="1" sizeWithCells="1">
                  <from>
                    <xdr:col>11</xdr:col>
                    <xdr:colOff>69850</xdr:colOff>
                    <xdr:row>1</xdr:row>
                    <xdr:rowOff>63500</xdr:rowOff>
                  </from>
                  <to>
                    <xdr:col>12</xdr:col>
                    <xdr:colOff>177800</xdr:colOff>
                    <xdr:row>1</xdr:row>
                    <xdr:rowOff>488950</xdr:rowOff>
                  </to>
                </anchor>
              </controlPr>
            </control>
          </mc:Choice>
        </mc:AlternateContent>
        <mc:AlternateContent xmlns:mc="http://schemas.openxmlformats.org/markup-compatibility/2006">
          <mc:Choice Requires="x14">
            <control shapeId="1028" r:id="rId6" name="Summary">
              <controlPr defaultSize="0" print="0" autoFill="0" autoPict="0" macro="[0]!summarysheet">
                <anchor moveWithCells="1" sizeWithCells="1">
                  <from>
                    <xdr:col>6</xdr:col>
                    <xdr:colOff>107950</xdr:colOff>
                    <xdr:row>1</xdr:row>
                    <xdr:rowOff>63500</xdr:rowOff>
                  </from>
                  <to>
                    <xdr:col>6</xdr:col>
                    <xdr:colOff>1035050</xdr:colOff>
                    <xdr:row>1</xdr:row>
                    <xdr:rowOff>488950</xdr:rowOff>
                  </to>
                </anchor>
              </controlPr>
            </control>
          </mc:Choice>
        </mc:AlternateContent>
        <mc:AlternateContent xmlns:mc="http://schemas.openxmlformats.org/markup-compatibility/2006">
          <mc:Choice Requires="x14">
            <control shapeId="1029" r:id="rId7" name="CSV">
              <controlPr defaultSize="0" print="0" autoFill="0" autoPict="0" macro="[0]!CreateCSVs">
                <anchor moveWithCells="1" sizeWithCells="1">
                  <from>
                    <xdr:col>10</xdr:col>
                    <xdr:colOff>527050</xdr:colOff>
                    <xdr:row>2</xdr:row>
                    <xdr:rowOff>101600</xdr:rowOff>
                  </from>
                  <to>
                    <xdr:col>12</xdr:col>
                    <xdr:colOff>177800</xdr:colOff>
                    <xdr:row>3</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tabColor theme="3" tint="0.59999389629810485"/>
    <pageSetUpPr fitToPage="1"/>
  </sheetPr>
  <dimension ref="A1:P12"/>
  <sheetViews>
    <sheetView workbookViewId="0"/>
  </sheetViews>
  <sheetFormatPr defaultColWidth="9.08984375" defaultRowHeight="14.5" x14ac:dyDescent="0.35"/>
  <cols>
    <col min="1" max="1" width="9.36328125" style="13" customWidth="1"/>
    <col min="2" max="2" width="17.6328125" style="13" customWidth="1"/>
    <col min="3" max="4" width="17.453125" style="13" customWidth="1"/>
    <col min="5" max="12" width="14.36328125" style="13" customWidth="1"/>
    <col min="13" max="15" width="13.54296875" style="13" customWidth="1"/>
    <col min="16" max="16" width="10.54296875" style="13" customWidth="1"/>
    <col min="17" max="16384" width="9.08984375" style="8"/>
  </cols>
  <sheetData>
    <row r="1" spans="1:16" ht="6" customHeight="1" x14ac:dyDescent="0.35">
      <c r="A1" s="8"/>
      <c r="B1" s="8"/>
      <c r="C1" s="8"/>
      <c r="D1" s="8"/>
      <c r="E1" s="8"/>
      <c r="F1" s="9"/>
      <c r="G1" s="8"/>
      <c r="H1" s="9"/>
      <c r="I1" s="9"/>
      <c r="J1" s="8"/>
      <c r="K1" s="8"/>
      <c r="L1" s="8"/>
      <c r="M1" s="8"/>
      <c r="N1" s="8"/>
      <c r="O1" s="8"/>
      <c r="P1" s="8"/>
    </row>
    <row r="2" spans="1:16" ht="45.75" customHeight="1" x14ac:dyDescent="0.35">
      <c r="A2" s="8"/>
      <c r="B2" s="8"/>
      <c r="C2" s="8"/>
      <c r="D2" s="8"/>
      <c r="E2" s="10"/>
      <c r="F2" s="10"/>
      <c r="G2" s="10"/>
      <c r="H2" s="10"/>
      <c r="I2" s="9"/>
      <c r="J2" s="8"/>
      <c r="K2" s="8"/>
      <c r="L2" s="8"/>
      <c r="M2" s="8"/>
      <c r="N2" s="8"/>
      <c r="O2" s="8"/>
      <c r="P2" s="8"/>
    </row>
    <row r="3" spans="1:16" ht="51.75" customHeight="1" x14ac:dyDescent="0.35">
      <c r="A3" s="8"/>
      <c r="B3" s="101" t="s">
        <v>2</v>
      </c>
      <c r="C3" s="11" t="s">
        <v>3</v>
      </c>
      <c r="D3" s="11" t="s">
        <v>4</v>
      </c>
      <c r="E3" s="103" t="s">
        <v>5</v>
      </c>
      <c r="F3" s="104"/>
      <c r="G3" s="103" t="s">
        <v>6</v>
      </c>
      <c r="H3" s="104"/>
      <c r="I3" s="103" t="s">
        <v>7</v>
      </c>
      <c r="J3" s="104"/>
      <c r="K3" s="103" t="s">
        <v>8</v>
      </c>
      <c r="L3" s="104"/>
      <c r="M3" s="8"/>
      <c r="N3" s="8"/>
      <c r="O3" s="8"/>
      <c r="P3" s="8"/>
    </row>
    <row r="4" spans="1:16" ht="21.9" customHeight="1" x14ac:dyDescent="0.35">
      <c r="A4" s="8"/>
      <c r="B4" s="102"/>
      <c r="C4" s="12">
        <v>43647</v>
      </c>
      <c r="D4" s="12">
        <v>43647</v>
      </c>
      <c r="E4" s="12">
        <v>43647</v>
      </c>
      <c r="F4" s="12">
        <v>43642</v>
      </c>
      <c r="G4" s="12">
        <v>43647</v>
      </c>
      <c r="H4" s="12">
        <v>43642</v>
      </c>
      <c r="I4" s="12">
        <v>43647</v>
      </c>
      <c r="J4" s="12">
        <v>43642</v>
      </c>
      <c r="K4" s="12">
        <v>43647</v>
      </c>
      <c r="L4" s="12">
        <v>43642</v>
      </c>
      <c r="M4" s="8"/>
      <c r="N4" s="8"/>
      <c r="O4" s="8"/>
      <c r="P4" s="8"/>
    </row>
    <row r="5" spans="1:16" ht="15" customHeight="1" x14ac:dyDescent="0.35">
      <c r="B5" s="14" t="s">
        <v>9</v>
      </c>
      <c r="C5" s="15">
        <v>134</v>
      </c>
      <c r="D5" s="16">
        <v>9823765</v>
      </c>
      <c r="E5" s="17">
        <v>151767</v>
      </c>
      <c r="F5" s="17">
        <v>140198</v>
      </c>
      <c r="G5" s="18">
        <v>0.12385179599670962</v>
      </c>
      <c r="H5" s="18">
        <v>0.12084294761012854</v>
      </c>
      <c r="I5" s="19">
        <v>0.84736471037840899</v>
      </c>
      <c r="J5" s="19">
        <v>0.85648868029501135</v>
      </c>
      <c r="K5" s="19">
        <v>9.0704830430857822E-2</v>
      </c>
      <c r="L5" s="19">
        <v>8.5372116577982562E-2</v>
      </c>
    </row>
    <row r="6" spans="1:16" x14ac:dyDescent="0.35">
      <c r="B6" s="20" t="s">
        <v>10</v>
      </c>
      <c r="C6" s="21" t="s">
        <v>11</v>
      </c>
      <c r="D6" s="22">
        <v>9341579</v>
      </c>
      <c r="E6" s="23">
        <v>139705</v>
      </c>
      <c r="F6" s="23">
        <v>128841</v>
      </c>
      <c r="G6" s="24">
        <v>0.12444139216163085</v>
      </c>
      <c r="H6" s="24">
        <v>0.1208494664805727</v>
      </c>
      <c r="I6" s="25">
        <v>0.84492323109409107</v>
      </c>
      <c r="J6" s="25">
        <v>0.8539440085066089</v>
      </c>
      <c r="K6" s="25">
        <v>9.2373214988726249E-2</v>
      </c>
      <c r="L6" s="25">
        <v>8.6897804270379769E-2</v>
      </c>
    </row>
    <row r="7" spans="1:16" x14ac:dyDescent="0.35">
      <c r="B7" s="26" t="s">
        <v>12</v>
      </c>
      <c r="C7" s="27">
        <v>24</v>
      </c>
      <c r="D7" s="28">
        <v>482186</v>
      </c>
      <c r="E7" s="29">
        <v>12062</v>
      </c>
      <c r="F7" s="29">
        <v>11357</v>
      </c>
      <c r="G7" s="30">
        <v>0.11740886747457049</v>
      </c>
      <c r="H7" s="30">
        <v>0.12076904263124874</v>
      </c>
      <c r="I7" s="31">
        <v>0.87564251367932344</v>
      </c>
      <c r="J7" s="31">
        <v>0.88535704851633357</v>
      </c>
      <c r="K7" s="31">
        <v>7.1381197148068315E-2</v>
      </c>
      <c r="L7" s="31">
        <v>6.8063749229550052E-2</v>
      </c>
    </row>
    <row r="11" spans="1:16" ht="15" customHeight="1" x14ac:dyDescent="0.35"/>
    <row r="12" spans="1:16" ht="15" customHeight="1" x14ac:dyDescent="0.35"/>
  </sheetData>
  <mergeCells count="5">
    <mergeCell ref="B3:B4"/>
    <mergeCell ref="E3:F3"/>
    <mergeCell ref="G3:H3"/>
    <mergeCell ref="I3:J3"/>
    <mergeCell ref="K3:L3"/>
  </mergeCells>
  <pageMargins left="0.25" right="0.25" top="0.75" bottom="0.75" header="0.3" footer="0.3"/>
  <pageSetup paperSize="9" scale="63"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Sites">
              <controlPr defaultSize="0" autoFill="0" autoPict="0" macro="[0]!Sitessheet">
                <anchor>
                  <from>
                    <xdr:col>7</xdr:col>
                    <xdr:colOff>368300</xdr:colOff>
                    <xdr:row>1</xdr:row>
                    <xdr:rowOff>69850</xdr:rowOff>
                  </from>
                  <to>
                    <xdr:col>8</xdr:col>
                    <xdr:colOff>304800</xdr:colOff>
                    <xdr:row>1</xdr:row>
                    <xdr:rowOff>323850</xdr:rowOff>
                  </to>
                </anchor>
              </controlPr>
            </control>
          </mc:Choice>
        </mc:AlternateContent>
        <mc:AlternateContent xmlns:mc="http://schemas.openxmlformats.org/markup-compatibility/2006">
          <mc:Choice Requires="x14">
            <control shapeId="2050" r:id="rId5" name="Notes">
              <controlPr defaultSize="0" autoFill="0" autoPict="0" macro="[0]!notessheet">
                <anchor>
                  <from>
                    <xdr:col>1</xdr:col>
                    <xdr:colOff>330200</xdr:colOff>
                    <xdr:row>1</xdr:row>
                    <xdr:rowOff>69850</xdr:rowOff>
                  </from>
                  <to>
                    <xdr:col>2</xdr:col>
                    <xdr:colOff>25400</xdr:colOff>
                    <xdr:row>1</xdr:row>
                    <xdr:rowOff>323850</xdr:rowOff>
                  </to>
                </anchor>
              </controlPr>
            </control>
          </mc:Choice>
        </mc:AlternateContent>
        <mc:AlternateContent xmlns:mc="http://schemas.openxmlformats.org/markup-compatibility/2006">
          <mc:Choice Requires="x14">
            <control shapeId="2051" r:id="rId6" name="Regions">
              <controlPr defaultSize="0" autoFill="0" autoPict="0" macro="[0]!regionsheet">
                <anchor>
                  <from>
                    <xdr:col>4</xdr:col>
                    <xdr:colOff>546100</xdr:colOff>
                    <xdr:row>1</xdr:row>
                    <xdr:rowOff>69850</xdr:rowOff>
                  </from>
                  <to>
                    <xdr:col>6</xdr:col>
                    <xdr:colOff>165100</xdr:colOff>
                    <xdr:row>1</xdr:row>
                    <xdr:rowOff>323850</xdr:rowOff>
                  </to>
                </anchor>
              </controlPr>
            </control>
          </mc:Choice>
        </mc:AlternateContent>
        <mc:AlternateContent xmlns:mc="http://schemas.openxmlformats.org/markup-compatibility/2006">
          <mc:Choice Requires="x14">
            <control shapeId="2052" r:id="rId7" name="Trusts">
              <controlPr defaultSize="0" autoFill="0" autoPict="0" macro="[0]!trustssheet">
                <anchor>
                  <from>
                    <xdr:col>6</xdr:col>
                    <xdr:colOff>298450</xdr:colOff>
                    <xdr:row>1</xdr:row>
                    <xdr:rowOff>69850</xdr:rowOff>
                  </from>
                  <to>
                    <xdr:col>7</xdr:col>
                    <xdr:colOff>234950</xdr:colOff>
                    <xdr:row>1</xdr:row>
                    <xdr:rowOff>323850</xdr:rowOff>
                  </to>
                </anchor>
              </controlPr>
            </control>
          </mc:Choice>
        </mc:AlternateContent>
        <mc:AlternateContent xmlns:mc="http://schemas.openxmlformats.org/markup-compatibility/2006">
          <mc:Choice Requires="x14">
            <control shapeId="2053" r:id="rId8" name="Summary">
              <controlPr defaultSize="0" autoFill="0" autoPict="0" macro="[0]!summarysheet">
                <anchor>
                  <from>
                    <xdr:col>2</xdr:col>
                    <xdr:colOff>215900</xdr:colOff>
                    <xdr:row>1</xdr:row>
                    <xdr:rowOff>69850</xdr:rowOff>
                  </from>
                  <to>
                    <xdr:col>2</xdr:col>
                    <xdr:colOff>1143000</xdr:colOff>
                    <xdr:row>1</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tabColor theme="3" tint="0.59999389629810485"/>
    <pageSetUpPr fitToPage="1"/>
  </sheetPr>
  <dimension ref="A1:N20"/>
  <sheetViews>
    <sheetView workbookViewId="0"/>
  </sheetViews>
  <sheetFormatPr defaultColWidth="9.08984375" defaultRowHeight="14.5" x14ac:dyDescent="0.35"/>
  <cols>
    <col min="1" max="1" width="9.36328125" style="52" customWidth="1"/>
    <col min="2" max="2" width="50.08984375" style="52" customWidth="1"/>
    <col min="3" max="3" width="13.08984375" style="52" customWidth="1"/>
    <col min="4" max="5" width="12.6328125" style="52" customWidth="1"/>
    <col min="6" max="6" width="17" style="52" customWidth="1"/>
    <col min="7" max="7" width="18.6328125" style="52" customWidth="1"/>
    <col min="8" max="13" width="13.54296875" style="52" customWidth="1"/>
    <col min="14" max="14" width="10.54296875" style="52" customWidth="1"/>
    <col min="15" max="16384" width="9.08984375" style="8"/>
  </cols>
  <sheetData>
    <row r="1" spans="1:14" ht="6" customHeight="1" x14ac:dyDescent="0.35">
      <c r="A1" s="8"/>
      <c r="B1" s="8"/>
      <c r="C1" s="8"/>
      <c r="D1" s="8"/>
      <c r="E1" s="8"/>
      <c r="F1" s="32"/>
      <c r="G1" s="32"/>
      <c r="H1" s="8"/>
      <c r="I1" s="8"/>
      <c r="J1" s="8"/>
      <c r="K1" s="8"/>
      <c r="L1" s="8"/>
      <c r="M1" s="8"/>
      <c r="N1" s="8"/>
    </row>
    <row r="2" spans="1:14" ht="105" customHeight="1" x14ac:dyDescent="0.35">
      <c r="A2" s="8"/>
      <c r="B2" s="8"/>
      <c r="C2" s="8"/>
      <c r="D2" s="8"/>
      <c r="E2" s="8"/>
      <c r="F2" s="32"/>
      <c r="G2" s="32"/>
      <c r="H2" s="8"/>
      <c r="I2" s="8"/>
      <c r="J2" s="8"/>
      <c r="K2" s="8"/>
      <c r="L2" s="8"/>
      <c r="M2" s="8"/>
      <c r="N2" s="8"/>
    </row>
    <row r="3" spans="1:14" ht="15.75" customHeight="1" x14ac:dyDescent="0.35">
      <c r="A3" s="101" t="s">
        <v>13</v>
      </c>
      <c r="B3" s="101" t="s">
        <v>14</v>
      </c>
      <c r="C3" s="101" t="s">
        <v>15</v>
      </c>
      <c r="D3" s="101" t="s">
        <v>16</v>
      </c>
      <c r="E3" s="101" t="s">
        <v>6</v>
      </c>
      <c r="F3" s="105" t="s">
        <v>17</v>
      </c>
      <c r="G3" s="105" t="s">
        <v>18</v>
      </c>
      <c r="H3" s="107" t="s">
        <v>19</v>
      </c>
      <c r="I3" s="107"/>
      <c r="J3" s="107"/>
      <c r="K3" s="107"/>
      <c r="L3" s="107"/>
      <c r="M3" s="107"/>
      <c r="N3" s="8"/>
    </row>
    <row r="4" spans="1:14" ht="31.5" customHeight="1" x14ac:dyDescent="0.35">
      <c r="A4" s="108"/>
      <c r="B4" s="108"/>
      <c r="C4" s="108"/>
      <c r="D4" s="108"/>
      <c r="E4" s="108"/>
      <c r="F4" s="106"/>
      <c r="G4" s="106"/>
      <c r="H4" s="33" t="s">
        <v>20</v>
      </c>
      <c r="I4" s="33" t="s">
        <v>21</v>
      </c>
      <c r="J4" s="33" t="s">
        <v>22</v>
      </c>
      <c r="K4" s="33" t="s">
        <v>23</v>
      </c>
      <c r="L4" s="33" t="s">
        <v>24</v>
      </c>
      <c r="M4" s="33" t="s">
        <v>25</v>
      </c>
      <c r="N4" s="8"/>
    </row>
    <row r="5" spans="1:14" s="40" customFormat="1" x14ac:dyDescent="0.35">
      <c r="A5" s="34"/>
      <c r="B5" s="35" t="s">
        <v>26</v>
      </c>
      <c r="C5" s="36">
        <v>151767</v>
      </c>
      <c r="D5" s="36">
        <v>1225392</v>
      </c>
      <c r="E5" s="37">
        <v>0.12385179599670962</v>
      </c>
      <c r="F5" s="38">
        <v>0.84736471037840899</v>
      </c>
      <c r="G5" s="38">
        <v>9.0704830430857822E-2</v>
      </c>
      <c r="H5" s="39">
        <v>99629</v>
      </c>
      <c r="I5" s="39">
        <v>28973</v>
      </c>
      <c r="J5" s="39">
        <v>6894</v>
      </c>
      <c r="K5" s="39">
        <v>5227</v>
      </c>
      <c r="L5" s="39">
        <v>8539</v>
      </c>
      <c r="M5" s="39">
        <v>2505</v>
      </c>
    </row>
    <row r="6" spans="1:14" s="46" customFormat="1" ht="15" customHeight="1" thickBot="1" x14ac:dyDescent="0.4">
      <c r="A6" s="41"/>
      <c r="B6" s="42" t="s">
        <v>27</v>
      </c>
      <c r="C6" s="43">
        <f>SUBTOTAL(9,C7:C32)</f>
        <v>151767</v>
      </c>
      <c r="D6" s="43">
        <f>SUBTOTAL(9,D7:D32)</f>
        <v>1225392</v>
      </c>
      <c r="E6" s="44">
        <f>IFERROR(C6/D6,"NA")</f>
        <v>0.12385179599670962</v>
      </c>
      <c r="F6" s="45">
        <f>IFERROR((H6+I6)/C6, "-")</f>
        <v>0.84736471037840899</v>
      </c>
      <c r="G6" s="45">
        <f>IFERROR((K6+L6)/C6, "-")</f>
        <v>9.0704830430857822E-2</v>
      </c>
      <c r="H6" s="43">
        <f t="shared" ref="H6:M6" si="0">SUBTOTAL(9,H7:H32)</f>
        <v>99629</v>
      </c>
      <c r="I6" s="43">
        <f t="shared" si="0"/>
        <v>28973</v>
      </c>
      <c r="J6" s="43">
        <f t="shared" si="0"/>
        <v>6894</v>
      </c>
      <c r="K6" s="43">
        <f t="shared" si="0"/>
        <v>5227</v>
      </c>
      <c r="L6" s="43">
        <f t="shared" si="0"/>
        <v>8539</v>
      </c>
      <c r="M6" s="43">
        <f t="shared" si="0"/>
        <v>2505</v>
      </c>
    </row>
    <row r="7" spans="1:14" ht="15" customHeight="1" x14ac:dyDescent="0.35">
      <c r="A7" s="47" t="s">
        <v>28</v>
      </c>
      <c r="B7" s="48" t="s">
        <v>29</v>
      </c>
      <c r="C7" s="49">
        <v>14050</v>
      </c>
      <c r="D7" s="49">
        <v>121658</v>
      </c>
      <c r="E7" s="50">
        <v>0.11548767857436421</v>
      </c>
      <c r="F7" s="51">
        <v>0.8543772241992883</v>
      </c>
      <c r="G7" s="51">
        <v>8.7117437722419935E-2</v>
      </c>
      <c r="H7" s="49">
        <v>9343</v>
      </c>
      <c r="I7" s="49">
        <v>2661</v>
      </c>
      <c r="J7" s="49">
        <v>545</v>
      </c>
      <c r="K7" s="49">
        <v>491</v>
      </c>
      <c r="L7" s="49">
        <v>733</v>
      </c>
      <c r="M7" s="49">
        <v>277</v>
      </c>
    </row>
    <row r="8" spans="1:14" ht="16.5" customHeight="1" x14ac:dyDescent="0.35">
      <c r="A8" s="53" t="s">
        <v>30</v>
      </c>
      <c r="B8" s="54" t="s">
        <v>31</v>
      </c>
      <c r="C8" s="55">
        <v>7938</v>
      </c>
      <c r="D8" s="55">
        <v>82437</v>
      </c>
      <c r="E8" s="56">
        <v>9.6291713672258819E-2</v>
      </c>
      <c r="F8" s="57">
        <v>0.89783320735701688</v>
      </c>
      <c r="G8" s="57">
        <v>4.0942302847064752E-2</v>
      </c>
      <c r="H8" s="55">
        <v>4989</v>
      </c>
      <c r="I8" s="55">
        <v>2138</v>
      </c>
      <c r="J8" s="55">
        <v>308</v>
      </c>
      <c r="K8" s="55">
        <v>130</v>
      </c>
      <c r="L8" s="55">
        <v>195</v>
      </c>
      <c r="M8" s="55">
        <v>178</v>
      </c>
    </row>
    <row r="9" spans="1:14" ht="16.5" customHeight="1" x14ac:dyDescent="0.35">
      <c r="A9" s="53" t="s">
        <v>32</v>
      </c>
      <c r="B9" s="54" t="s">
        <v>33</v>
      </c>
      <c r="C9" s="55">
        <v>7332</v>
      </c>
      <c r="D9" s="55">
        <v>52942</v>
      </c>
      <c r="E9" s="56">
        <v>0.13849117902610403</v>
      </c>
      <c r="F9" s="57">
        <v>0.83578832515002732</v>
      </c>
      <c r="G9" s="57">
        <v>0.11129296235679215</v>
      </c>
      <c r="H9" s="55">
        <v>4953</v>
      </c>
      <c r="I9" s="55">
        <v>1175</v>
      </c>
      <c r="J9" s="55">
        <v>302</v>
      </c>
      <c r="K9" s="55">
        <v>297</v>
      </c>
      <c r="L9" s="55">
        <v>519</v>
      </c>
      <c r="M9" s="55">
        <v>86</v>
      </c>
    </row>
    <row r="10" spans="1:14" ht="16.5" customHeight="1" x14ac:dyDescent="0.35">
      <c r="A10" s="53" t="s">
        <v>34</v>
      </c>
      <c r="B10" s="54" t="s">
        <v>35</v>
      </c>
      <c r="C10" s="55">
        <v>11821</v>
      </c>
      <c r="D10" s="55">
        <v>83675</v>
      </c>
      <c r="E10" s="56">
        <v>0.14127278159545861</v>
      </c>
      <c r="F10" s="57">
        <v>0.86346332797563663</v>
      </c>
      <c r="G10" s="57">
        <v>8.3664664579984768E-2</v>
      </c>
      <c r="H10" s="55">
        <v>8169</v>
      </c>
      <c r="I10" s="55">
        <v>2038</v>
      </c>
      <c r="J10" s="55">
        <v>490</v>
      </c>
      <c r="K10" s="55">
        <v>363</v>
      </c>
      <c r="L10" s="55">
        <v>626</v>
      </c>
      <c r="M10" s="55">
        <v>135</v>
      </c>
    </row>
    <row r="11" spans="1:14" ht="16.5" customHeight="1" x14ac:dyDescent="0.35">
      <c r="A11" s="53" t="s">
        <v>36</v>
      </c>
      <c r="B11" s="54" t="s">
        <v>37</v>
      </c>
      <c r="C11" s="55">
        <v>4387</v>
      </c>
      <c r="D11" s="55">
        <v>25659</v>
      </c>
      <c r="E11" s="56">
        <v>0.1709731478233758</v>
      </c>
      <c r="F11" s="57">
        <v>0.86687941645771593</v>
      </c>
      <c r="G11" s="57">
        <v>8.1376795076361974E-2</v>
      </c>
      <c r="H11" s="55">
        <v>3143</v>
      </c>
      <c r="I11" s="55">
        <v>660</v>
      </c>
      <c r="J11" s="55">
        <v>151</v>
      </c>
      <c r="K11" s="55">
        <v>140</v>
      </c>
      <c r="L11" s="55">
        <v>217</v>
      </c>
      <c r="M11" s="55">
        <v>76</v>
      </c>
    </row>
    <row r="12" spans="1:14" ht="16.5" customHeight="1" x14ac:dyDescent="0.35">
      <c r="A12" s="53" t="s">
        <v>38</v>
      </c>
      <c r="B12" s="54" t="s">
        <v>39</v>
      </c>
      <c r="C12" s="55">
        <v>8467</v>
      </c>
      <c r="D12" s="55">
        <v>68855</v>
      </c>
      <c r="E12" s="56">
        <v>0.12296855711277321</v>
      </c>
      <c r="F12" s="57">
        <v>0.75422227471359393</v>
      </c>
      <c r="G12" s="57">
        <v>0.14633282154245897</v>
      </c>
      <c r="H12" s="55">
        <v>5066</v>
      </c>
      <c r="I12" s="55">
        <v>1320</v>
      </c>
      <c r="J12" s="55">
        <v>607</v>
      </c>
      <c r="K12" s="55">
        <v>440</v>
      </c>
      <c r="L12" s="55">
        <v>799</v>
      </c>
      <c r="M12" s="55">
        <v>235</v>
      </c>
    </row>
    <row r="13" spans="1:14" ht="16.5" customHeight="1" x14ac:dyDescent="0.35">
      <c r="A13" s="53" t="s">
        <v>40</v>
      </c>
      <c r="B13" s="54" t="s">
        <v>41</v>
      </c>
      <c r="C13" s="55">
        <v>13263</v>
      </c>
      <c r="D13" s="55">
        <v>106464</v>
      </c>
      <c r="E13" s="56">
        <v>0.12457732191163211</v>
      </c>
      <c r="F13" s="57">
        <v>0.80049762497172583</v>
      </c>
      <c r="G13" s="57">
        <v>0.12991027670964336</v>
      </c>
      <c r="H13" s="55">
        <v>8282</v>
      </c>
      <c r="I13" s="55">
        <v>2335</v>
      </c>
      <c r="J13" s="55">
        <v>627</v>
      </c>
      <c r="K13" s="55">
        <v>591</v>
      </c>
      <c r="L13" s="55">
        <v>1132</v>
      </c>
      <c r="M13" s="55">
        <v>296</v>
      </c>
    </row>
    <row r="14" spans="1:14" ht="16.5" customHeight="1" x14ac:dyDescent="0.35">
      <c r="A14" s="53" t="s">
        <v>42</v>
      </c>
      <c r="B14" s="54" t="s">
        <v>43</v>
      </c>
      <c r="C14" s="55">
        <v>3989</v>
      </c>
      <c r="D14" s="55">
        <v>39647</v>
      </c>
      <c r="E14" s="56">
        <v>0.10061290892122986</v>
      </c>
      <c r="F14" s="57">
        <v>0.84682877914264232</v>
      </c>
      <c r="G14" s="57">
        <v>9.1752318876911501E-2</v>
      </c>
      <c r="H14" s="55">
        <v>2733</v>
      </c>
      <c r="I14" s="55">
        <v>645</v>
      </c>
      <c r="J14" s="55">
        <v>200</v>
      </c>
      <c r="K14" s="55">
        <v>128</v>
      </c>
      <c r="L14" s="55">
        <v>238</v>
      </c>
      <c r="M14" s="55">
        <v>45</v>
      </c>
    </row>
    <row r="15" spans="1:14" ht="15.75" customHeight="1" x14ac:dyDescent="0.35">
      <c r="A15" s="53" t="s">
        <v>44</v>
      </c>
      <c r="B15" s="54" t="s">
        <v>45</v>
      </c>
      <c r="C15" s="55">
        <v>12989</v>
      </c>
      <c r="D15" s="55">
        <v>117947</v>
      </c>
      <c r="E15" s="56">
        <v>0.1101257344400451</v>
      </c>
      <c r="F15" s="57">
        <v>0.87343136500115481</v>
      </c>
      <c r="G15" s="57">
        <v>7.1753021787666488E-2</v>
      </c>
      <c r="H15" s="55">
        <v>8647</v>
      </c>
      <c r="I15" s="55">
        <v>2698</v>
      </c>
      <c r="J15" s="55">
        <v>555</v>
      </c>
      <c r="K15" s="55">
        <v>361</v>
      </c>
      <c r="L15" s="55">
        <v>571</v>
      </c>
      <c r="M15" s="55">
        <v>157</v>
      </c>
    </row>
    <row r="16" spans="1:14" x14ac:dyDescent="0.35">
      <c r="A16" s="53" t="s">
        <v>46</v>
      </c>
      <c r="B16" s="54" t="s">
        <v>47</v>
      </c>
      <c r="C16" s="55">
        <v>4934</v>
      </c>
      <c r="D16" s="55">
        <v>59480</v>
      </c>
      <c r="E16" s="56">
        <v>8.2952252858103565E-2</v>
      </c>
      <c r="F16" s="57">
        <v>0.88204296716659913</v>
      </c>
      <c r="G16" s="57">
        <v>7.0733684637211192E-2</v>
      </c>
      <c r="H16" s="55">
        <v>3583</v>
      </c>
      <c r="I16" s="55">
        <v>769</v>
      </c>
      <c r="J16" s="55">
        <v>151</v>
      </c>
      <c r="K16" s="55">
        <v>140</v>
      </c>
      <c r="L16" s="55">
        <v>209</v>
      </c>
      <c r="M16" s="55">
        <v>82</v>
      </c>
    </row>
    <row r="17" spans="1:13" x14ac:dyDescent="0.35">
      <c r="A17" s="53" t="s">
        <v>48</v>
      </c>
      <c r="B17" s="54" t="s">
        <v>49</v>
      </c>
      <c r="C17" s="55">
        <v>5583</v>
      </c>
      <c r="D17" s="55">
        <v>41255</v>
      </c>
      <c r="E17" s="56">
        <v>0.1353290510241183</v>
      </c>
      <c r="F17" s="57">
        <v>0.85240909905068962</v>
      </c>
      <c r="G17" s="57">
        <v>9.1706967580154036E-2</v>
      </c>
      <c r="H17" s="55">
        <v>3829</v>
      </c>
      <c r="I17" s="55">
        <v>930</v>
      </c>
      <c r="J17" s="55">
        <v>241</v>
      </c>
      <c r="K17" s="55">
        <v>170</v>
      </c>
      <c r="L17" s="55">
        <v>342</v>
      </c>
      <c r="M17" s="55">
        <v>71</v>
      </c>
    </row>
    <row r="18" spans="1:13" x14ac:dyDescent="0.35">
      <c r="A18" s="53" t="s">
        <v>50</v>
      </c>
      <c r="B18" s="54" t="s">
        <v>51</v>
      </c>
      <c r="C18" s="55">
        <v>8551</v>
      </c>
      <c r="D18" s="55">
        <v>75404</v>
      </c>
      <c r="E18" s="56">
        <v>0.11340247201739961</v>
      </c>
      <c r="F18" s="57">
        <v>0.88001403344638052</v>
      </c>
      <c r="G18" s="57">
        <v>6.6775815694070872E-2</v>
      </c>
      <c r="H18" s="55">
        <v>6121</v>
      </c>
      <c r="I18" s="55">
        <v>1404</v>
      </c>
      <c r="J18" s="55">
        <v>339</v>
      </c>
      <c r="K18" s="55">
        <v>248</v>
      </c>
      <c r="L18" s="55">
        <v>323</v>
      </c>
      <c r="M18" s="55">
        <v>116</v>
      </c>
    </row>
    <row r="19" spans="1:13" x14ac:dyDescent="0.35">
      <c r="A19" s="53" t="s">
        <v>52</v>
      </c>
      <c r="B19" s="54" t="s">
        <v>53</v>
      </c>
      <c r="C19" s="55">
        <v>13580</v>
      </c>
      <c r="D19" s="55">
        <v>96286</v>
      </c>
      <c r="E19" s="56">
        <v>0.14103815715680368</v>
      </c>
      <c r="F19" s="57">
        <v>0.85986745213549343</v>
      </c>
      <c r="G19" s="57">
        <v>8.3946980854197342E-2</v>
      </c>
      <c r="H19" s="55">
        <v>9335</v>
      </c>
      <c r="I19" s="55">
        <v>2342</v>
      </c>
      <c r="J19" s="55">
        <v>543</v>
      </c>
      <c r="K19" s="55">
        <v>410</v>
      </c>
      <c r="L19" s="55">
        <v>730</v>
      </c>
      <c r="M19" s="55">
        <v>220</v>
      </c>
    </row>
    <row r="20" spans="1:13" x14ac:dyDescent="0.35">
      <c r="A20" s="58" t="s">
        <v>54</v>
      </c>
      <c r="B20" s="59" t="s">
        <v>55</v>
      </c>
      <c r="C20" s="60">
        <v>34883</v>
      </c>
      <c r="D20" s="60">
        <v>253683</v>
      </c>
      <c r="E20" s="61">
        <v>0.13750625780994391</v>
      </c>
      <c r="F20" s="62">
        <v>0.83977868875956774</v>
      </c>
      <c r="G20" s="62">
        <v>9.239457615457386E-2</v>
      </c>
      <c r="H20" s="60">
        <v>21436</v>
      </c>
      <c r="I20" s="60">
        <v>7858</v>
      </c>
      <c r="J20" s="60">
        <v>1835</v>
      </c>
      <c r="K20" s="60">
        <v>1318</v>
      </c>
      <c r="L20" s="60">
        <v>1905</v>
      </c>
      <c r="M20" s="60">
        <v>531</v>
      </c>
    </row>
  </sheetData>
  <mergeCells count="8">
    <mergeCell ref="G3:G4"/>
    <mergeCell ref="H3:M3"/>
    <mergeCell ref="A3:A4"/>
    <mergeCell ref="B3:B4"/>
    <mergeCell ref="C3:C4"/>
    <mergeCell ref="D3:D4"/>
    <mergeCell ref="E3:E4"/>
    <mergeCell ref="F3:F4"/>
  </mergeCells>
  <pageMargins left="0.25" right="0.25" top="0.75" bottom="0.75" header="0.3" footer="0.3"/>
  <pageSetup paperSize="9" scale="64"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ites">
              <controlPr defaultSize="0" autoFill="0" autoPict="0" macro="[0]!Sitessheet">
                <anchor>
                  <from>
                    <xdr:col>5</xdr:col>
                    <xdr:colOff>857250</xdr:colOff>
                    <xdr:row>1</xdr:row>
                    <xdr:rowOff>69850</xdr:rowOff>
                  </from>
                  <to>
                    <xdr:col>6</xdr:col>
                    <xdr:colOff>603250</xdr:colOff>
                    <xdr:row>1</xdr:row>
                    <xdr:rowOff>323850</xdr:rowOff>
                  </to>
                </anchor>
              </controlPr>
            </control>
          </mc:Choice>
        </mc:AlternateContent>
        <mc:AlternateContent xmlns:mc="http://schemas.openxmlformats.org/markup-compatibility/2006">
          <mc:Choice Requires="x14">
            <control shapeId="3074" r:id="rId5" name="Drop Down Sort">
              <controlPr defaultSize="0" autoLine="0" autoPict="0">
                <anchor>
                  <from>
                    <xdr:col>1</xdr:col>
                    <xdr:colOff>1441450</xdr:colOff>
                    <xdr:row>1</xdr:row>
                    <xdr:rowOff>514350</xdr:rowOff>
                  </from>
                  <to>
                    <xdr:col>1</xdr:col>
                    <xdr:colOff>3232150</xdr:colOff>
                    <xdr:row>1</xdr:row>
                    <xdr:rowOff>774700</xdr:rowOff>
                  </to>
                </anchor>
              </controlPr>
            </control>
          </mc:Choice>
        </mc:AlternateContent>
        <mc:AlternateContent xmlns:mc="http://schemas.openxmlformats.org/markup-compatibility/2006">
          <mc:Choice Requires="x14">
            <control shapeId="3075" r:id="rId6" name="Region Code">
              <controlPr defaultSize="0" autoLine="0" autoPict="0" macro="[0]!FilterListsRegionCode">
                <anchor>
                  <from>
                    <xdr:col>5</xdr:col>
                    <xdr:colOff>539750</xdr:colOff>
                    <xdr:row>1</xdr:row>
                    <xdr:rowOff>438150</xdr:rowOff>
                  </from>
                  <to>
                    <xdr:col>6</xdr:col>
                    <xdr:colOff>215900</xdr:colOff>
                    <xdr:row>1</xdr:row>
                    <xdr:rowOff>660400</xdr:rowOff>
                  </to>
                </anchor>
              </controlPr>
            </control>
          </mc:Choice>
        </mc:AlternateContent>
        <mc:AlternateContent xmlns:mc="http://schemas.openxmlformats.org/markup-compatibility/2006">
          <mc:Choice Requires="x14">
            <control shapeId="3076" r:id="rId7" name="Sort">
              <controlPr defaultSize="0" autoFill="0" autoPict="0" macro="[0]!Sort">
                <anchor>
                  <from>
                    <xdr:col>1</xdr:col>
                    <xdr:colOff>3460750</xdr:colOff>
                    <xdr:row>1</xdr:row>
                    <xdr:rowOff>679450</xdr:rowOff>
                  </from>
                  <to>
                    <xdr:col>2</xdr:col>
                    <xdr:colOff>768350</xdr:colOff>
                    <xdr:row>1</xdr:row>
                    <xdr:rowOff>933450</xdr:rowOff>
                  </to>
                </anchor>
              </controlPr>
            </control>
          </mc:Choice>
        </mc:AlternateContent>
        <mc:AlternateContent xmlns:mc="http://schemas.openxmlformats.org/markup-compatibility/2006">
          <mc:Choice Requires="x14">
            <control shapeId="3077" r:id="rId8" name="Low">
              <controlPr defaultSize="0" autoFill="0" autoLine="0" autoPict="0">
                <anchor>
                  <from>
                    <xdr:col>1</xdr:col>
                    <xdr:colOff>1460500</xdr:colOff>
                    <xdr:row>1</xdr:row>
                    <xdr:rowOff>800100</xdr:rowOff>
                  </from>
                  <to>
                    <xdr:col>1</xdr:col>
                    <xdr:colOff>2082800</xdr:colOff>
                    <xdr:row>1</xdr:row>
                    <xdr:rowOff>1162050</xdr:rowOff>
                  </to>
                </anchor>
              </controlPr>
            </control>
          </mc:Choice>
        </mc:AlternateContent>
        <mc:AlternateContent xmlns:mc="http://schemas.openxmlformats.org/markup-compatibility/2006">
          <mc:Choice Requires="x14">
            <control shapeId="3078" r:id="rId9" name="High">
              <controlPr defaultSize="0" autoFill="0" autoLine="0" autoPict="0">
                <anchor>
                  <from>
                    <xdr:col>1</xdr:col>
                    <xdr:colOff>2387600</xdr:colOff>
                    <xdr:row>1</xdr:row>
                    <xdr:rowOff>800100</xdr:rowOff>
                  </from>
                  <to>
                    <xdr:col>1</xdr:col>
                    <xdr:colOff>3162300</xdr:colOff>
                    <xdr:row>1</xdr:row>
                    <xdr:rowOff>1162050</xdr:rowOff>
                  </to>
                </anchor>
              </controlPr>
            </control>
          </mc:Choice>
        </mc:AlternateContent>
        <mc:AlternateContent xmlns:mc="http://schemas.openxmlformats.org/markup-compatibility/2006">
          <mc:Choice Requires="x14">
            <control shapeId="3079" r:id="rId10" name="Notes">
              <controlPr defaultSize="0" autoFill="0" autoPict="0" macro="[0]!notessheet">
                <anchor>
                  <from>
                    <xdr:col>1</xdr:col>
                    <xdr:colOff>330200</xdr:colOff>
                    <xdr:row>1</xdr:row>
                    <xdr:rowOff>69850</xdr:rowOff>
                  </from>
                  <to>
                    <xdr:col>1</xdr:col>
                    <xdr:colOff>1250950</xdr:colOff>
                    <xdr:row>1</xdr:row>
                    <xdr:rowOff>323850</xdr:rowOff>
                  </to>
                </anchor>
              </controlPr>
            </control>
          </mc:Choice>
        </mc:AlternateContent>
        <mc:AlternateContent xmlns:mc="http://schemas.openxmlformats.org/markup-compatibility/2006">
          <mc:Choice Requires="x14">
            <control shapeId="3080" r:id="rId11" name="Region name">
              <controlPr defaultSize="0" autoLine="0" autoPict="0" macro="[0]!FilterListsRegionName">
                <anchor>
                  <from>
                    <xdr:col>6</xdr:col>
                    <xdr:colOff>254000</xdr:colOff>
                    <xdr:row>1</xdr:row>
                    <xdr:rowOff>438150</xdr:rowOff>
                  </from>
                  <to>
                    <xdr:col>8</xdr:col>
                    <xdr:colOff>647700</xdr:colOff>
                    <xdr:row>1</xdr:row>
                    <xdr:rowOff>660400</xdr:rowOff>
                  </to>
                </anchor>
              </controlPr>
            </control>
          </mc:Choice>
        </mc:AlternateContent>
        <mc:AlternateContent xmlns:mc="http://schemas.openxmlformats.org/markup-compatibility/2006">
          <mc:Choice Requires="x14">
            <control shapeId="3081" r:id="rId12" name="Reset">
              <controlPr defaultSize="0" autoFill="0" autoPict="0" macro="[0]!Reset">
                <anchor>
                  <from>
                    <xdr:col>8</xdr:col>
                    <xdr:colOff>844550</xdr:colOff>
                    <xdr:row>1</xdr:row>
                    <xdr:rowOff>850900</xdr:rowOff>
                  </from>
                  <to>
                    <xdr:col>9</xdr:col>
                    <xdr:colOff>666750</xdr:colOff>
                    <xdr:row>1</xdr:row>
                    <xdr:rowOff>1104900</xdr:rowOff>
                  </to>
                </anchor>
              </controlPr>
            </control>
          </mc:Choice>
        </mc:AlternateContent>
        <mc:AlternateContent xmlns:mc="http://schemas.openxmlformats.org/markup-compatibility/2006">
          <mc:Choice Requires="x14">
            <control shapeId="3082" r:id="rId13" name="Filter">
              <controlPr defaultSize="0" autoFill="0" autoPict="0" macro="[0]!Filter">
                <anchor>
                  <from>
                    <xdr:col>8</xdr:col>
                    <xdr:colOff>844550</xdr:colOff>
                    <xdr:row>1</xdr:row>
                    <xdr:rowOff>514350</xdr:rowOff>
                  </from>
                  <to>
                    <xdr:col>9</xdr:col>
                    <xdr:colOff>666750</xdr:colOff>
                    <xdr:row>1</xdr:row>
                    <xdr:rowOff>774700</xdr:rowOff>
                  </to>
                </anchor>
              </controlPr>
            </control>
          </mc:Choice>
        </mc:AlternateContent>
        <mc:AlternateContent xmlns:mc="http://schemas.openxmlformats.org/markup-compatibility/2006">
          <mc:Choice Requires="x14">
            <control shapeId="3083" r:id="rId14" name="Regions">
              <controlPr defaultSize="0" autoFill="0" autoPict="0" macro="[0]!regionsheet">
                <anchor>
                  <from>
                    <xdr:col>2</xdr:col>
                    <xdr:colOff>711200</xdr:colOff>
                    <xdr:row>1</xdr:row>
                    <xdr:rowOff>69850</xdr:rowOff>
                  </from>
                  <to>
                    <xdr:col>4</xdr:col>
                    <xdr:colOff>533400</xdr:colOff>
                    <xdr:row>1</xdr:row>
                    <xdr:rowOff>323850</xdr:rowOff>
                  </to>
                </anchor>
              </controlPr>
            </control>
          </mc:Choice>
        </mc:AlternateContent>
        <mc:AlternateContent xmlns:mc="http://schemas.openxmlformats.org/markup-compatibility/2006">
          <mc:Choice Requires="x14">
            <control shapeId="3084" r:id="rId15" name="Trusts">
              <controlPr defaultSize="0" autoFill="0" autoPict="0" macro="[0]!trustssheet">
                <anchor>
                  <from>
                    <xdr:col>4</xdr:col>
                    <xdr:colOff>666750</xdr:colOff>
                    <xdr:row>1</xdr:row>
                    <xdr:rowOff>69850</xdr:rowOff>
                  </from>
                  <to>
                    <xdr:col>5</xdr:col>
                    <xdr:colOff>723900</xdr:colOff>
                    <xdr:row>1</xdr:row>
                    <xdr:rowOff>323850</xdr:rowOff>
                  </to>
                </anchor>
              </controlPr>
            </control>
          </mc:Choice>
        </mc:AlternateContent>
        <mc:AlternateContent xmlns:mc="http://schemas.openxmlformats.org/markup-compatibility/2006">
          <mc:Choice Requires="x14">
            <control shapeId="3085" r:id="rId16" name="Summary">
              <controlPr defaultSize="0" autoFill="0" autoPict="0" macro="[0]!summarysheet">
                <anchor>
                  <from>
                    <xdr:col>1</xdr:col>
                    <xdr:colOff>1441450</xdr:colOff>
                    <xdr:row>1</xdr:row>
                    <xdr:rowOff>69850</xdr:rowOff>
                  </from>
                  <to>
                    <xdr:col>1</xdr:col>
                    <xdr:colOff>2368550</xdr:colOff>
                    <xdr:row>1</xdr:row>
                    <xdr:rowOff>323850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theme="3" tint="0.59999389629810485"/>
    <pageSetUpPr fitToPage="1"/>
  </sheetPr>
  <dimension ref="A1:V147"/>
  <sheetViews>
    <sheetView workbookViewId="0"/>
  </sheetViews>
  <sheetFormatPr defaultColWidth="9.08984375" defaultRowHeight="14.5" x14ac:dyDescent="0.35"/>
  <cols>
    <col min="1" max="2" width="9.36328125" style="52" customWidth="1"/>
    <col min="3" max="3" width="40.90625" style="52" customWidth="1"/>
    <col min="4" max="4" width="13.08984375" style="52" customWidth="1"/>
    <col min="5" max="6" width="12.6328125" style="52" customWidth="1"/>
    <col min="7" max="7" width="17" style="52" customWidth="1"/>
    <col min="8" max="8" width="18.6328125" style="52" customWidth="1"/>
    <col min="9" max="14" width="13.54296875" style="52" customWidth="1"/>
    <col min="15" max="15" width="17.6328125" style="52" customWidth="1"/>
    <col min="16" max="16" width="23.08984375" style="52" customWidth="1"/>
    <col min="17" max="17" width="20.453125" style="52" customWidth="1"/>
    <col min="18" max="18" width="20.36328125" style="52" customWidth="1"/>
    <col min="19" max="19" width="20.90625" style="52" customWidth="1"/>
    <col min="20" max="20" width="19.08984375" style="52" customWidth="1"/>
    <col min="21" max="21" width="10.54296875" style="52" customWidth="1"/>
    <col min="22" max="22" width="9.08984375" style="52"/>
    <col min="23" max="16384" width="9.08984375" style="8"/>
  </cols>
  <sheetData>
    <row r="1" spans="1:22" ht="6" customHeight="1" x14ac:dyDescent="0.35">
      <c r="A1" s="8"/>
      <c r="B1" s="63"/>
      <c r="C1" s="8"/>
      <c r="D1" s="8"/>
      <c r="E1" s="8"/>
      <c r="F1" s="8"/>
      <c r="G1" s="32"/>
      <c r="H1" s="8"/>
      <c r="I1" s="8"/>
      <c r="J1" s="8"/>
      <c r="K1" s="8"/>
      <c r="L1" s="8"/>
      <c r="M1" s="8"/>
      <c r="N1" s="8"/>
      <c r="O1" s="8"/>
      <c r="P1" s="8"/>
      <c r="Q1" s="8"/>
      <c r="R1" s="8"/>
      <c r="S1" s="8"/>
      <c r="T1" s="8"/>
      <c r="U1" s="8"/>
      <c r="V1" s="8"/>
    </row>
    <row r="2" spans="1:22" ht="105" customHeight="1" x14ac:dyDescent="0.35">
      <c r="A2" s="8"/>
      <c r="B2" s="8"/>
      <c r="C2" s="8"/>
      <c r="D2" s="8"/>
      <c r="E2" s="8"/>
      <c r="F2" s="8"/>
      <c r="G2" s="32"/>
      <c r="H2" s="8"/>
      <c r="I2" s="8"/>
      <c r="J2" s="8"/>
      <c r="K2" s="8"/>
      <c r="L2" s="8"/>
      <c r="M2" s="8"/>
      <c r="N2" s="8"/>
      <c r="O2" s="8"/>
      <c r="P2" s="8"/>
      <c r="Q2" s="8"/>
      <c r="R2" s="8"/>
      <c r="S2" s="8"/>
      <c r="T2" s="8"/>
      <c r="U2" s="8"/>
      <c r="V2" s="8"/>
    </row>
    <row r="3" spans="1:22" ht="15.75" customHeight="1" x14ac:dyDescent="0.35">
      <c r="A3" s="101" t="s">
        <v>13</v>
      </c>
      <c r="B3" s="101" t="s">
        <v>56</v>
      </c>
      <c r="C3" s="101" t="s">
        <v>57</v>
      </c>
      <c r="D3" s="101" t="s">
        <v>15</v>
      </c>
      <c r="E3" s="101" t="s">
        <v>16</v>
      </c>
      <c r="F3" s="101" t="s">
        <v>6</v>
      </c>
      <c r="G3" s="105" t="s">
        <v>17</v>
      </c>
      <c r="H3" s="105" t="s">
        <v>18</v>
      </c>
      <c r="I3" s="103" t="s">
        <v>19</v>
      </c>
      <c r="J3" s="109"/>
      <c r="K3" s="109"/>
      <c r="L3" s="109"/>
      <c r="M3" s="109"/>
      <c r="N3" s="104"/>
      <c r="O3" s="107" t="s">
        <v>58</v>
      </c>
      <c r="P3" s="107"/>
      <c r="Q3" s="107"/>
      <c r="R3" s="107"/>
      <c r="S3" s="107"/>
      <c r="T3" s="107"/>
      <c r="U3" s="107"/>
      <c r="V3" s="8"/>
    </row>
    <row r="4" spans="1:22" ht="31.5" customHeight="1" x14ac:dyDescent="0.35">
      <c r="A4" s="108"/>
      <c r="B4" s="108"/>
      <c r="C4" s="108"/>
      <c r="D4" s="108"/>
      <c r="E4" s="108"/>
      <c r="F4" s="108"/>
      <c r="G4" s="106"/>
      <c r="H4" s="106"/>
      <c r="I4" s="33" t="s">
        <v>20</v>
      </c>
      <c r="J4" s="33" t="s">
        <v>21</v>
      </c>
      <c r="K4" s="33" t="s">
        <v>22</v>
      </c>
      <c r="L4" s="33" t="s">
        <v>23</v>
      </c>
      <c r="M4" s="33" t="s">
        <v>24</v>
      </c>
      <c r="N4" s="33" t="s">
        <v>25</v>
      </c>
      <c r="O4" s="64" t="s">
        <v>59</v>
      </c>
      <c r="P4" s="64" t="s">
        <v>60</v>
      </c>
      <c r="Q4" s="64" t="s">
        <v>61</v>
      </c>
      <c r="R4" s="64" t="s">
        <v>62</v>
      </c>
      <c r="S4" s="64" t="s">
        <v>63</v>
      </c>
      <c r="T4" s="64" t="s">
        <v>64</v>
      </c>
      <c r="U4" s="64" t="s">
        <v>65</v>
      </c>
      <c r="V4" s="40"/>
    </row>
    <row r="5" spans="1:22" s="40" customFormat="1" x14ac:dyDescent="0.35">
      <c r="A5" s="34"/>
      <c r="B5" s="65"/>
      <c r="C5" s="35" t="s">
        <v>26</v>
      </c>
      <c r="D5" s="66">
        <v>151767</v>
      </c>
      <c r="E5" s="66">
        <v>1225392</v>
      </c>
      <c r="F5" s="37">
        <v>0.12385179599670962</v>
      </c>
      <c r="G5" s="38">
        <v>0.84736471037840899</v>
      </c>
      <c r="H5" s="38">
        <v>9.0704830430857822E-2</v>
      </c>
      <c r="I5" s="67">
        <v>99629</v>
      </c>
      <c r="J5" s="67">
        <v>28973</v>
      </c>
      <c r="K5" s="67">
        <v>6894</v>
      </c>
      <c r="L5" s="67">
        <v>5227</v>
      </c>
      <c r="M5" s="67">
        <v>8539</v>
      </c>
      <c r="N5" s="67">
        <v>2505</v>
      </c>
      <c r="O5" s="67">
        <v>76908</v>
      </c>
      <c r="P5" s="67">
        <v>4494</v>
      </c>
      <c r="Q5" s="67">
        <v>40537</v>
      </c>
      <c r="R5" s="67">
        <v>1133</v>
      </c>
      <c r="S5" s="67">
        <v>24942</v>
      </c>
      <c r="T5" s="67">
        <v>3048</v>
      </c>
      <c r="U5" s="67">
        <v>705</v>
      </c>
    </row>
    <row r="6" spans="1:22" s="46" customFormat="1" ht="15" customHeight="1" thickBot="1" x14ac:dyDescent="0.4">
      <c r="A6" s="41"/>
      <c r="B6" s="68"/>
      <c r="C6" s="42" t="s">
        <v>27</v>
      </c>
      <c r="D6" s="43">
        <f>SUBTOTAL(9,D7:D999)</f>
        <v>151767</v>
      </c>
      <c r="E6" s="43">
        <f>SUBTOTAL(9,E7:E999)</f>
        <v>1225392</v>
      </c>
      <c r="F6" s="44">
        <f>IFERROR(D6/E6,"NA")</f>
        <v>0.12385179599670962</v>
      </c>
      <c r="G6" s="45">
        <f>IFERROR((I6+J6)/D6, "-")</f>
        <v>0.84704184704184704</v>
      </c>
      <c r="H6" s="45">
        <f>IFERROR((L6+M6)/D6, "-")</f>
        <v>9.0665296144748206E-2</v>
      </c>
      <c r="I6" s="43">
        <f>SUBTOTAL(9,I7:I999)</f>
        <v>99587</v>
      </c>
      <c r="J6" s="43">
        <f t="shared" ref="J6:U6" si="0">SUBTOTAL(9,J7:J999)</f>
        <v>28966</v>
      </c>
      <c r="K6" s="43">
        <f t="shared" si="0"/>
        <v>6891</v>
      </c>
      <c r="L6" s="43">
        <f t="shared" si="0"/>
        <v>5226</v>
      </c>
      <c r="M6" s="43">
        <f t="shared" si="0"/>
        <v>8534</v>
      </c>
      <c r="N6" s="43">
        <f t="shared" si="0"/>
        <v>2505</v>
      </c>
      <c r="O6" s="43">
        <f t="shared" si="0"/>
        <v>76908</v>
      </c>
      <c r="P6" s="43">
        <f t="shared" si="0"/>
        <v>4484</v>
      </c>
      <c r="Q6" s="43">
        <f t="shared" si="0"/>
        <v>40489</v>
      </c>
      <c r="R6" s="43">
        <f t="shared" si="0"/>
        <v>1133</v>
      </c>
      <c r="S6" s="43">
        <f t="shared" si="0"/>
        <v>24942</v>
      </c>
      <c r="T6" s="43">
        <f t="shared" si="0"/>
        <v>3048</v>
      </c>
      <c r="U6" s="43">
        <f t="shared" si="0"/>
        <v>705</v>
      </c>
    </row>
    <row r="7" spans="1:22" ht="15" customHeight="1" x14ac:dyDescent="0.35">
      <c r="A7" s="69" t="s">
        <v>54</v>
      </c>
      <c r="B7" s="69" t="s">
        <v>66</v>
      </c>
      <c r="C7" s="69" t="s">
        <v>67</v>
      </c>
      <c r="D7" s="70">
        <v>1911</v>
      </c>
      <c r="E7" s="70">
        <v>10077</v>
      </c>
      <c r="F7" s="71">
        <v>0.18963977374218519</v>
      </c>
      <c r="G7" s="72">
        <v>0.92569335426478283</v>
      </c>
      <c r="H7" s="72">
        <v>1.9361590790162218E-2</v>
      </c>
      <c r="I7" s="73">
        <v>1380</v>
      </c>
      <c r="J7" s="73">
        <v>389</v>
      </c>
      <c r="K7" s="73">
        <v>68</v>
      </c>
      <c r="L7" s="73">
        <v>15</v>
      </c>
      <c r="M7" s="73">
        <v>22</v>
      </c>
      <c r="N7" s="73">
        <v>37</v>
      </c>
      <c r="O7" s="73">
        <v>0</v>
      </c>
      <c r="P7" s="73">
        <v>0</v>
      </c>
      <c r="Q7" s="73">
        <v>1906</v>
      </c>
      <c r="R7" s="73">
        <v>0</v>
      </c>
      <c r="S7" s="73">
        <v>0</v>
      </c>
      <c r="T7" s="73">
        <v>5</v>
      </c>
      <c r="U7" s="73">
        <v>0</v>
      </c>
    </row>
    <row r="8" spans="1:22" ht="16.5" customHeight="1" x14ac:dyDescent="0.35">
      <c r="A8" s="74" t="s">
        <v>54</v>
      </c>
      <c r="B8" s="74" t="s">
        <v>68</v>
      </c>
      <c r="C8" s="74" t="s">
        <v>69</v>
      </c>
      <c r="D8" s="75">
        <v>2040</v>
      </c>
      <c r="E8" s="75">
        <v>38396</v>
      </c>
      <c r="F8" s="76">
        <v>5.3130534430669861E-2</v>
      </c>
      <c r="G8" s="77">
        <v>0.73872549019607847</v>
      </c>
      <c r="H8" s="77">
        <v>0.15735294117647058</v>
      </c>
      <c r="I8" s="78">
        <v>1097</v>
      </c>
      <c r="J8" s="78">
        <v>410</v>
      </c>
      <c r="K8" s="78">
        <v>127</v>
      </c>
      <c r="L8" s="78">
        <v>116</v>
      </c>
      <c r="M8" s="78">
        <v>205</v>
      </c>
      <c r="N8" s="78">
        <v>85</v>
      </c>
      <c r="O8" s="78">
        <v>1806</v>
      </c>
      <c r="P8" s="78">
        <v>0</v>
      </c>
      <c r="Q8" s="78">
        <v>233</v>
      </c>
      <c r="R8" s="78">
        <v>0</v>
      </c>
      <c r="S8" s="78">
        <v>0</v>
      </c>
      <c r="T8" s="78">
        <v>1</v>
      </c>
      <c r="U8" s="78">
        <v>0</v>
      </c>
    </row>
    <row r="9" spans="1:22" ht="16.5" customHeight="1" x14ac:dyDescent="0.35">
      <c r="A9" s="74" t="s">
        <v>54</v>
      </c>
      <c r="B9" s="74" t="s">
        <v>70</v>
      </c>
      <c r="C9" s="74" t="s">
        <v>71</v>
      </c>
      <c r="D9" s="75">
        <v>3004</v>
      </c>
      <c r="E9" s="75">
        <v>15956</v>
      </c>
      <c r="F9" s="76">
        <v>0.18826773627475557</v>
      </c>
      <c r="G9" s="77">
        <v>0.91045272969374169</v>
      </c>
      <c r="H9" s="77">
        <v>5.5925432756324903E-2</v>
      </c>
      <c r="I9" s="78">
        <v>2290</v>
      </c>
      <c r="J9" s="78">
        <v>445</v>
      </c>
      <c r="K9" s="78">
        <v>80</v>
      </c>
      <c r="L9" s="78">
        <v>64</v>
      </c>
      <c r="M9" s="78">
        <v>104</v>
      </c>
      <c r="N9" s="78">
        <v>21</v>
      </c>
      <c r="O9" s="78">
        <v>2625</v>
      </c>
      <c r="P9" s="78">
        <v>54</v>
      </c>
      <c r="Q9" s="78">
        <v>0</v>
      </c>
      <c r="R9" s="78">
        <v>0</v>
      </c>
      <c r="S9" s="78">
        <v>0</v>
      </c>
      <c r="T9" s="78">
        <v>325</v>
      </c>
      <c r="U9" s="78">
        <v>0</v>
      </c>
    </row>
    <row r="10" spans="1:22" ht="16.5" customHeight="1" x14ac:dyDescent="0.35">
      <c r="A10" s="74" t="s">
        <v>54</v>
      </c>
      <c r="B10" s="74" t="s">
        <v>72</v>
      </c>
      <c r="C10" s="74" t="s">
        <v>73</v>
      </c>
      <c r="D10" s="75">
        <v>2030</v>
      </c>
      <c r="E10" s="75">
        <v>11973</v>
      </c>
      <c r="F10" s="76">
        <v>0.16954815000417606</v>
      </c>
      <c r="G10" s="77">
        <v>0.74778325123152711</v>
      </c>
      <c r="H10" s="77">
        <v>0.14926108374384237</v>
      </c>
      <c r="I10" s="78">
        <v>1021</v>
      </c>
      <c r="J10" s="78">
        <v>497</v>
      </c>
      <c r="K10" s="78">
        <v>136</v>
      </c>
      <c r="L10" s="78">
        <v>106</v>
      </c>
      <c r="M10" s="78">
        <v>197</v>
      </c>
      <c r="N10" s="78">
        <v>73</v>
      </c>
      <c r="O10" s="78">
        <v>2030</v>
      </c>
      <c r="P10" s="78">
        <v>0</v>
      </c>
      <c r="Q10" s="78">
        <v>0</v>
      </c>
      <c r="R10" s="78">
        <v>0</v>
      </c>
      <c r="S10" s="78">
        <v>0</v>
      </c>
      <c r="T10" s="78">
        <v>0</v>
      </c>
      <c r="U10" s="78">
        <v>0</v>
      </c>
    </row>
    <row r="11" spans="1:22" ht="16.5" customHeight="1" x14ac:dyDescent="0.35">
      <c r="A11" s="74" t="s">
        <v>54</v>
      </c>
      <c r="B11" s="74" t="s">
        <v>74</v>
      </c>
      <c r="C11" s="74" t="s">
        <v>75</v>
      </c>
      <c r="D11" s="75">
        <v>1899</v>
      </c>
      <c r="E11" s="75">
        <v>10955</v>
      </c>
      <c r="F11" s="76">
        <v>0.17334550433591966</v>
      </c>
      <c r="G11" s="77">
        <v>0.83728278041074244</v>
      </c>
      <c r="H11" s="77">
        <v>9.057398630858346E-2</v>
      </c>
      <c r="I11" s="78">
        <v>1269</v>
      </c>
      <c r="J11" s="78">
        <v>321</v>
      </c>
      <c r="K11" s="78">
        <v>120</v>
      </c>
      <c r="L11" s="78">
        <v>70</v>
      </c>
      <c r="M11" s="78">
        <v>102</v>
      </c>
      <c r="N11" s="78">
        <v>17</v>
      </c>
      <c r="O11" s="78">
        <v>1426</v>
      </c>
      <c r="P11" s="78">
        <v>0</v>
      </c>
      <c r="Q11" s="78">
        <v>106</v>
      </c>
      <c r="R11" s="78">
        <v>0</v>
      </c>
      <c r="S11" s="78">
        <v>364</v>
      </c>
      <c r="T11" s="78">
        <v>3</v>
      </c>
      <c r="U11" s="78">
        <v>0</v>
      </c>
    </row>
    <row r="12" spans="1:22" ht="16.5" customHeight="1" x14ac:dyDescent="0.35">
      <c r="A12" s="74" t="s">
        <v>54</v>
      </c>
      <c r="B12" s="74" t="s">
        <v>76</v>
      </c>
      <c r="C12" s="74" t="s">
        <v>77</v>
      </c>
      <c r="D12" s="75">
        <v>2322</v>
      </c>
      <c r="E12" s="75">
        <v>12621</v>
      </c>
      <c r="F12" s="76">
        <v>0.18397908248157832</v>
      </c>
      <c r="G12" s="77">
        <v>0.80490956072351416</v>
      </c>
      <c r="H12" s="77">
        <v>8.2687338501291993E-2</v>
      </c>
      <c r="I12" s="78">
        <v>1268</v>
      </c>
      <c r="J12" s="78">
        <v>601</v>
      </c>
      <c r="K12" s="78">
        <v>173</v>
      </c>
      <c r="L12" s="78">
        <v>88</v>
      </c>
      <c r="M12" s="78">
        <v>104</v>
      </c>
      <c r="N12" s="78">
        <v>88</v>
      </c>
      <c r="O12" s="78">
        <v>1446</v>
      </c>
      <c r="P12" s="78">
        <v>0</v>
      </c>
      <c r="Q12" s="78">
        <v>796</v>
      </c>
      <c r="R12" s="78">
        <v>0</v>
      </c>
      <c r="S12" s="78">
        <v>79</v>
      </c>
      <c r="T12" s="78">
        <v>1</v>
      </c>
      <c r="U12" s="78">
        <v>0</v>
      </c>
    </row>
    <row r="13" spans="1:22" ht="16.5" customHeight="1" x14ac:dyDescent="0.35">
      <c r="A13" s="74" t="s">
        <v>54</v>
      </c>
      <c r="B13" s="74" t="s">
        <v>78</v>
      </c>
      <c r="C13" s="74" t="s">
        <v>79</v>
      </c>
      <c r="D13" s="75">
        <v>242</v>
      </c>
      <c r="E13" s="75">
        <v>9938</v>
      </c>
      <c r="F13" s="76">
        <v>2.4350976051519421E-2</v>
      </c>
      <c r="G13" s="77">
        <v>0.94214876033057848</v>
      </c>
      <c r="H13" s="77">
        <v>3.71900826446281E-2</v>
      </c>
      <c r="I13" s="78">
        <v>164</v>
      </c>
      <c r="J13" s="78">
        <v>64</v>
      </c>
      <c r="K13" s="78">
        <v>5</v>
      </c>
      <c r="L13" s="78">
        <v>3</v>
      </c>
      <c r="M13" s="78">
        <v>6</v>
      </c>
      <c r="N13" s="78">
        <v>0</v>
      </c>
      <c r="O13" s="78">
        <v>0</v>
      </c>
      <c r="P13" s="78">
        <v>0</v>
      </c>
      <c r="Q13" s="78">
        <v>85</v>
      </c>
      <c r="R13" s="78">
        <v>0</v>
      </c>
      <c r="S13" s="78">
        <v>0</v>
      </c>
      <c r="T13" s="78">
        <v>157</v>
      </c>
      <c r="U13" s="78">
        <v>0</v>
      </c>
    </row>
    <row r="14" spans="1:22" ht="15.75" customHeight="1" x14ac:dyDescent="0.35">
      <c r="A14" s="74" t="s">
        <v>54</v>
      </c>
      <c r="B14" s="74" t="s">
        <v>80</v>
      </c>
      <c r="C14" s="74" t="s">
        <v>81</v>
      </c>
      <c r="D14" s="75">
        <v>2823</v>
      </c>
      <c r="E14" s="75">
        <v>19327</v>
      </c>
      <c r="F14" s="76">
        <v>0.14606509028819786</v>
      </c>
      <c r="G14" s="77">
        <v>0.92525681898689338</v>
      </c>
      <c r="H14" s="77">
        <v>4.1091037902940136E-2</v>
      </c>
      <c r="I14" s="78">
        <v>2122</v>
      </c>
      <c r="J14" s="78">
        <v>490</v>
      </c>
      <c r="K14" s="78">
        <v>84</v>
      </c>
      <c r="L14" s="78">
        <v>45</v>
      </c>
      <c r="M14" s="78">
        <v>71</v>
      </c>
      <c r="N14" s="78">
        <v>11</v>
      </c>
      <c r="O14" s="78">
        <v>1</v>
      </c>
      <c r="P14" s="78">
        <v>247</v>
      </c>
      <c r="Q14" s="78">
        <v>1788</v>
      </c>
      <c r="R14" s="78">
        <v>0</v>
      </c>
      <c r="S14" s="78">
        <v>0</v>
      </c>
      <c r="T14" s="78">
        <v>787</v>
      </c>
      <c r="U14" s="78">
        <v>0</v>
      </c>
    </row>
    <row r="15" spans="1:22" x14ac:dyDescent="0.35">
      <c r="A15" s="74" t="s">
        <v>54</v>
      </c>
      <c r="B15" s="74" t="s">
        <v>82</v>
      </c>
      <c r="C15" s="74" t="s">
        <v>83</v>
      </c>
      <c r="D15" s="75">
        <v>1197</v>
      </c>
      <c r="E15" s="75">
        <v>15283</v>
      </c>
      <c r="F15" s="76">
        <v>7.8322318916443104E-2</v>
      </c>
      <c r="G15" s="77">
        <v>0.77944862155388472</v>
      </c>
      <c r="H15" s="77">
        <v>0.13032581453634084</v>
      </c>
      <c r="I15" s="78">
        <v>655</v>
      </c>
      <c r="J15" s="78">
        <v>278</v>
      </c>
      <c r="K15" s="78">
        <v>62</v>
      </c>
      <c r="L15" s="78">
        <v>56</v>
      </c>
      <c r="M15" s="78">
        <v>100</v>
      </c>
      <c r="N15" s="78">
        <v>46</v>
      </c>
      <c r="O15" s="78">
        <v>769</v>
      </c>
      <c r="P15" s="78">
        <v>0</v>
      </c>
      <c r="Q15" s="78">
        <v>0</v>
      </c>
      <c r="R15" s="78">
        <v>422</v>
      </c>
      <c r="S15" s="78">
        <v>0</v>
      </c>
      <c r="T15" s="78">
        <v>6</v>
      </c>
      <c r="U15" s="78">
        <v>0</v>
      </c>
    </row>
    <row r="16" spans="1:22" x14ac:dyDescent="0.35">
      <c r="A16" s="74" t="s">
        <v>54</v>
      </c>
      <c r="B16" s="74" t="s">
        <v>84</v>
      </c>
      <c r="C16" s="74" t="s">
        <v>85</v>
      </c>
      <c r="D16" s="75">
        <v>1882</v>
      </c>
      <c r="E16" s="75">
        <v>9088</v>
      </c>
      <c r="F16" s="76">
        <v>0.20708626760563381</v>
      </c>
      <c r="G16" s="77">
        <v>0.89479277364505849</v>
      </c>
      <c r="H16" s="77">
        <v>6.1636556854410204E-2</v>
      </c>
      <c r="I16" s="78">
        <v>1381</v>
      </c>
      <c r="J16" s="78">
        <v>303</v>
      </c>
      <c r="K16" s="78">
        <v>67</v>
      </c>
      <c r="L16" s="78">
        <v>47</v>
      </c>
      <c r="M16" s="78">
        <v>69</v>
      </c>
      <c r="N16" s="78">
        <v>15</v>
      </c>
      <c r="O16" s="78">
        <v>1649</v>
      </c>
      <c r="P16" s="78">
        <v>0</v>
      </c>
      <c r="Q16" s="78">
        <v>0</v>
      </c>
      <c r="R16" s="78">
        <v>0</v>
      </c>
      <c r="S16" s="78">
        <v>233</v>
      </c>
      <c r="T16" s="78">
        <v>0</v>
      </c>
      <c r="U16" s="78">
        <v>0</v>
      </c>
    </row>
    <row r="17" spans="1:21" x14ac:dyDescent="0.35">
      <c r="A17" s="74" t="s">
        <v>54</v>
      </c>
      <c r="B17" s="74" t="s">
        <v>86</v>
      </c>
      <c r="C17" s="74" t="s">
        <v>87</v>
      </c>
      <c r="D17" s="75">
        <v>1188</v>
      </c>
      <c r="E17" s="75">
        <v>17680</v>
      </c>
      <c r="F17" s="76">
        <v>6.7194570135746604E-2</v>
      </c>
      <c r="G17" s="77">
        <v>0.68686868686868685</v>
      </c>
      <c r="H17" s="77">
        <v>0.19696969696969696</v>
      </c>
      <c r="I17" s="78">
        <v>473</v>
      </c>
      <c r="J17" s="78">
        <v>343</v>
      </c>
      <c r="K17" s="78">
        <v>120</v>
      </c>
      <c r="L17" s="78">
        <v>85</v>
      </c>
      <c r="M17" s="78">
        <v>149</v>
      </c>
      <c r="N17" s="78">
        <v>18</v>
      </c>
      <c r="O17" s="78">
        <v>1188</v>
      </c>
      <c r="P17" s="78">
        <v>0</v>
      </c>
      <c r="Q17" s="78">
        <v>0</v>
      </c>
      <c r="R17" s="78">
        <v>0</v>
      </c>
      <c r="S17" s="78">
        <v>0</v>
      </c>
      <c r="T17" s="78">
        <v>0</v>
      </c>
      <c r="U17" s="78">
        <v>0</v>
      </c>
    </row>
    <row r="18" spans="1:21" x14ac:dyDescent="0.35">
      <c r="A18" s="74" t="s">
        <v>54</v>
      </c>
      <c r="B18" s="74" t="s">
        <v>88</v>
      </c>
      <c r="C18" s="74" t="s">
        <v>89</v>
      </c>
      <c r="D18" s="75">
        <v>1107</v>
      </c>
      <c r="E18" s="75">
        <v>16435</v>
      </c>
      <c r="F18" s="76">
        <v>6.7356251901429881E-2</v>
      </c>
      <c r="G18" s="77">
        <v>0.9159891598915989</v>
      </c>
      <c r="H18" s="77">
        <v>3.2520325203252036E-2</v>
      </c>
      <c r="I18" s="78">
        <v>618</v>
      </c>
      <c r="J18" s="78">
        <v>396</v>
      </c>
      <c r="K18" s="78">
        <v>26</v>
      </c>
      <c r="L18" s="78">
        <v>20</v>
      </c>
      <c r="M18" s="78">
        <v>16</v>
      </c>
      <c r="N18" s="78">
        <v>31</v>
      </c>
      <c r="O18" s="78">
        <v>0</v>
      </c>
      <c r="P18" s="78">
        <v>0</v>
      </c>
      <c r="Q18" s="78">
        <v>1107</v>
      </c>
      <c r="R18" s="78">
        <v>0</v>
      </c>
      <c r="S18" s="78">
        <v>0</v>
      </c>
      <c r="T18" s="78">
        <v>0</v>
      </c>
      <c r="U18" s="78">
        <v>0</v>
      </c>
    </row>
    <row r="19" spans="1:21" x14ac:dyDescent="0.35">
      <c r="A19" s="74" t="s">
        <v>54</v>
      </c>
      <c r="B19" s="74" t="s">
        <v>90</v>
      </c>
      <c r="C19" s="74" t="s">
        <v>91</v>
      </c>
      <c r="D19" s="75">
        <v>763</v>
      </c>
      <c r="E19" s="75">
        <v>8860</v>
      </c>
      <c r="F19" s="76">
        <v>8.6117381489841993E-2</v>
      </c>
      <c r="G19" s="77">
        <v>0.92660550458715596</v>
      </c>
      <c r="H19" s="77">
        <v>3.5386631716906945E-2</v>
      </c>
      <c r="I19" s="78">
        <v>512</v>
      </c>
      <c r="J19" s="78">
        <v>195</v>
      </c>
      <c r="K19" s="78">
        <v>18</v>
      </c>
      <c r="L19" s="78">
        <v>10</v>
      </c>
      <c r="M19" s="78">
        <v>17</v>
      </c>
      <c r="N19" s="78">
        <v>11</v>
      </c>
      <c r="O19" s="78">
        <v>0</v>
      </c>
      <c r="P19" s="78">
        <v>0</v>
      </c>
      <c r="Q19" s="78">
        <v>763</v>
      </c>
      <c r="R19" s="78">
        <v>0</v>
      </c>
      <c r="S19" s="78">
        <v>0</v>
      </c>
      <c r="T19" s="78">
        <v>0</v>
      </c>
      <c r="U19" s="78">
        <v>0</v>
      </c>
    </row>
    <row r="20" spans="1:21" x14ac:dyDescent="0.35">
      <c r="A20" s="74" t="s">
        <v>54</v>
      </c>
      <c r="B20" s="74" t="s">
        <v>92</v>
      </c>
      <c r="C20" s="74" t="s">
        <v>93</v>
      </c>
      <c r="D20" s="75">
        <v>969</v>
      </c>
      <c r="E20" s="75">
        <v>11471</v>
      </c>
      <c r="F20" s="76">
        <v>8.4473890680847361E-2</v>
      </c>
      <c r="G20" s="77">
        <v>0.68524251805985548</v>
      </c>
      <c r="H20" s="77">
        <v>0.23426212590299278</v>
      </c>
      <c r="I20" s="78">
        <v>440</v>
      </c>
      <c r="J20" s="78">
        <v>224</v>
      </c>
      <c r="K20" s="78">
        <v>59</v>
      </c>
      <c r="L20" s="78">
        <v>87</v>
      </c>
      <c r="M20" s="78">
        <v>140</v>
      </c>
      <c r="N20" s="78">
        <v>19</v>
      </c>
      <c r="O20" s="78">
        <v>781</v>
      </c>
      <c r="P20" s="78">
        <v>188</v>
      </c>
      <c r="Q20" s="78">
        <v>0</v>
      </c>
      <c r="R20" s="78">
        <v>0</v>
      </c>
      <c r="S20" s="78">
        <v>0</v>
      </c>
      <c r="T20" s="78">
        <v>0</v>
      </c>
      <c r="U20" s="78">
        <v>0</v>
      </c>
    </row>
    <row r="21" spans="1:21" x14ac:dyDescent="0.35">
      <c r="A21" s="74" t="s">
        <v>54</v>
      </c>
      <c r="B21" s="74" t="s">
        <v>94</v>
      </c>
      <c r="C21" s="74" t="s">
        <v>95</v>
      </c>
      <c r="D21" s="75">
        <v>6131</v>
      </c>
      <c r="E21" s="75">
        <v>11292</v>
      </c>
      <c r="F21" s="76">
        <v>0.54295076160113354</v>
      </c>
      <c r="G21" s="77">
        <v>0.83950415919099652</v>
      </c>
      <c r="H21" s="77">
        <v>8.48148752242701E-2</v>
      </c>
      <c r="I21" s="78">
        <v>3180</v>
      </c>
      <c r="J21" s="78">
        <v>1967</v>
      </c>
      <c r="K21" s="78">
        <v>464</v>
      </c>
      <c r="L21" s="78">
        <v>291</v>
      </c>
      <c r="M21" s="78">
        <v>229</v>
      </c>
      <c r="N21" s="78">
        <v>0</v>
      </c>
      <c r="O21" s="78">
        <v>0</v>
      </c>
      <c r="P21" s="78">
        <v>0</v>
      </c>
      <c r="Q21" s="78">
        <v>0</v>
      </c>
      <c r="R21" s="78">
        <v>0</v>
      </c>
      <c r="S21" s="78">
        <v>6131</v>
      </c>
      <c r="T21" s="78">
        <v>0</v>
      </c>
      <c r="U21" s="78">
        <v>0</v>
      </c>
    </row>
    <row r="22" spans="1:21" x14ac:dyDescent="0.35">
      <c r="A22" s="74" t="s">
        <v>54</v>
      </c>
      <c r="B22" s="74" t="s">
        <v>96</v>
      </c>
      <c r="C22" s="74" t="s">
        <v>97</v>
      </c>
      <c r="D22" s="75">
        <v>1516</v>
      </c>
      <c r="E22" s="75">
        <v>10087</v>
      </c>
      <c r="F22" s="76">
        <v>0.15029245563596708</v>
      </c>
      <c r="G22" s="77">
        <v>0.82585751978891819</v>
      </c>
      <c r="H22" s="77">
        <v>0.12664907651715041</v>
      </c>
      <c r="I22" s="78">
        <v>975</v>
      </c>
      <c r="J22" s="78">
        <v>277</v>
      </c>
      <c r="K22" s="78">
        <v>53</v>
      </c>
      <c r="L22" s="78">
        <v>75</v>
      </c>
      <c r="M22" s="78">
        <v>117</v>
      </c>
      <c r="N22" s="78">
        <v>19</v>
      </c>
      <c r="O22" s="78">
        <v>1427</v>
      </c>
      <c r="P22" s="78">
        <v>87</v>
      </c>
      <c r="Q22" s="78">
        <v>0</v>
      </c>
      <c r="R22" s="78">
        <v>0</v>
      </c>
      <c r="S22" s="78">
        <v>0</v>
      </c>
      <c r="T22" s="78">
        <v>2</v>
      </c>
      <c r="U22" s="78">
        <v>0</v>
      </c>
    </row>
    <row r="23" spans="1:21" x14ac:dyDescent="0.35">
      <c r="A23" s="74" t="s">
        <v>54</v>
      </c>
      <c r="B23" s="74" t="s">
        <v>98</v>
      </c>
      <c r="C23" s="74" t="s">
        <v>99</v>
      </c>
      <c r="D23" s="75">
        <v>845</v>
      </c>
      <c r="E23" s="75">
        <v>6972</v>
      </c>
      <c r="F23" s="76">
        <v>0.12119908204245554</v>
      </c>
      <c r="G23" s="77">
        <v>0.8319526627218935</v>
      </c>
      <c r="H23" s="77">
        <v>7.9289940828402364E-2</v>
      </c>
      <c r="I23" s="78">
        <v>521</v>
      </c>
      <c r="J23" s="78">
        <v>182</v>
      </c>
      <c r="K23" s="78">
        <v>51</v>
      </c>
      <c r="L23" s="78">
        <v>31</v>
      </c>
      <c r="M23" s="78">
        <v>36</v>
      </c>
      <c r="N23" s="78">
        <v>24</v>
      </c>
      <c r="O23" s="78">
        <v>0</v>
      </c>
      <c r="P23" s="78">
        <v>0</v>
      </c>
      <c r="Q23" s="78">
        <v>168</v>
      </c>
      <c r="R23" s="78">
        <v>0</v>
      </c>
      <c r="S23" s="78">
        <v>0</v>
      </c>
      <c r="T23" s="78">
        <v>677</v>
      </c>
      <c r="U23" s="78">
        <v>0</v>
      </c>
    </row>
    <row r="24" spans="1:21" x14ac:dyDescent="0.35">
      <c r="A24" s="74" t="s">
        <v>54</v>
      </c>
      <c r="B24" s="74" t="s">
        <v>100</v>
      </c>
      <c r="C24" s="74" t="s">
        <v>101</v>
      </c>
      <c r="D24" s="75">
        <v>1984</v>
      </c>
      <c r="E24" s="75">
        <v>9515</v>
      </c>
      <c r="F24" s="76">
        <v>0.20851287440882815</v>
      </c>
      <c r="G24" s="77">
        <v>0.876008064516129</v>
      </c>
      <c r="H24" s="77">
        <v>8.5685483870967735E-2</v>
      </c>
      <c r="I24" s="78">
        <v>1457</v>
      </c>
      <c r="J24" s="78">
        <v>281</v>
      </c>
      <c r="K24" s="78">
        <v>67</v>
      </c>
      <c r="L24" s="78">
        <v>58</v>
      </c>
      <c r="M24" s="78">
        <v>112</v>
      </c>
      <c r="N24" s="78">
        <v>9</v>
      </c>
      <c r="O24" s="78">
        <v>1715</v>
      </c>
      <c r="P24" s="78">
        <v>0</v>
      </c>
      <c r="Q24" s="78">
        <v>197</v>
      </c>
      <c r="R24" s="78">
        <v>0</v>
      </c>
      <c r="S24" s="78">
        <v>70</v>
      </c>
      <c r="T24" s="78">
        <v>2</v>
      </c>
      <c r="U24" s="78">
        <v>0</v>
      </c>
    </row>
    <row r="25" spans="1:21" x14ac:dyDescent="0.35">
      <c r="A25" s="74" t="s">
        <v>54</v>
      </c>
      <c r="B25" s="74" t="s">
        <v>102</v>
      </c>
      <c r="C25" s="74" t="s">
        <v>103</v>
      </c>
      <c r="D25" s="75">
        <v>1030</v>
      </c>
      <c r="E25" s="75">
        <v>7757</v>
      </c>
      <c r="F25" s="76">
        <v>0.13278329250999096</v>
      </c>
      <c r="G25" s="77">
        <v>0.78446601941747574</v>
      </c>
      <c r="H25" s="77">
        <v>0.1553398058252427</v>
      </c>
      <c r="I25" s="78">
        <v>613</v>
      </c>
      <c r="J25" s="78">
        <v>195</v>
      </c>
      <c r="K25" s="78">
        <v>55</v>
      </c>
      <c r="L25" s="78">
        <v>51</v>
      </c>
      <c r="M25" s="78">
        <v>109</v>
      </c>
      <c r="N25" s="78">
        <v>7</v>
      </c>
      <c r="O25" s="78">
        <v>990</v>
      </c>
      <c r="P25" s="78">
        <v>0</v>
      </c>
      <c r="Q25" s="78">
        <v>40</v>
      </c>
      <c r="R25" s="78">
        <v>0</v>
      </c>
      <c r="S25" s="78">
        <v>0</v>
      </c>
      <c r="T25" s="78">
        <v>0</v>
      </c>
      <c r="U25" s="78">
        <v>0</v>
      </c>
    </row>
    <row r="26" spans="1:21" x14ac:dyDescent="0.35">
      <c r="A26" s="74" t="s">
        <v>28</v>
      </c>
      <c r="B26" s="74" t="s">
        <v>104</v>
      </c>
      <c r="C26" s="74" t="s">
        <v>105</v>
      </c>
      <c r="D26" s="75">
        <v>121</v>
      </c>
      <c r="E26" s="75">
        <v>4261</v>
      </c>
      <c r="F26" s="76">
        <v>2.8397089885003519E-2</v>
      </c>
      <c r="G26" s="77">
        <v>0.93388429752066116</v>
      </c>
      <c r="H26" s="77">
        <v>4.1322314049586778E-2</v>
      </c>
      <c r="I26" s="78">
        <v>93</v>
      </c>
      <c r="J26" s="78">
        <v>20</v>
      </c>
      <c r="K26" s="78">
        <v>2</v>
      </c>
      <c r="L26" s="78">
        <v>3</v>
      </c>
      <c r="M26" s="78">
        <v>2</v>
      </c>
      <c r="N26" s="78">
        <v>1</v>
      </c>
      <c r="O26" s="78">
        <v>5</v>
      </c>
      <c r="P26" s="78">
        <v>0</v>
      </c>
      <c r="Q26" s="78">
        <v>115</v>
      </c>
      <c r="R26" s="78">
        <v>0</v>
      </c>
      <c r="S26" s="78">
        <v>0</v>
      </c>
      <c r="T26" s="78">
        <v>1</v>
      </c>
      <c r="U26" s="78">
        <v>0</v>
      </c>
    </row>
    <row r="27" spans="1:21" x14ac:dyDescent="0.35">
      <c r="A27" s="74" t="s">
        <v>28</v>
      </c>
      <c r="B27" s="74" t="s">
        <v>106</v>
      </c>
      <c r="C27" s="74" t="s">
        <v>107</v>
      </c>
      <c r="D27" s="75">
        <v>202</v>
      </c>
      <c r="E27" s="75">
        <v>6443</v>
      </c>
      <c r="F27" s="76">
        <v>3.1351854726059288E-2</v>
      </c>
      <c r="G27" s="77">
        <v>0.88118811881188119</v>
      </c>
      <c r="H27" s="77">
        <v>6.4356435643564358E-2</v>
      </c>
      <c r="I27" s="78">
        <v>143</v>
      </c>
      <c r="J27" s="78">
        <v>35</v>
      </c>
      <c r="K27" s="78">
        <v>10</v>
      </c>
      <c r="L27" s="78">
        <v>4</v>
      </c>
      <c r="M27" s="78">
        <v>9</v>
      </c>
      <c r="N27" s="78">
        <v>1</v>
      </c>
      <c r="O27" s="78">
        <v>0</v>
      </c>
      <c r="P27" s="78">
        <v>0</v>
      </c>
      <c r="Q27" s="78">
        <v>202</v>
      </c>
      <c r="R27" s="78">
        <v>0</v>
      </c>
      <c r="S27" s="78">
        <v>0</v>
      </c>
      <c r="T27" s="78">
        <v>0</v>
      </c>
      <c r="U27" s="78">
        <v>0</v>
      </c>
    </row>
    <row r="28" spans="1:21" x14ac:dyDescent="0.35">
      <c r="A28" s="74" t="s">
        <v>28</v>
      </c>
      <c r="B28" s="74" t="s">
        <v>108</v>
      </c>
      <c r="C28" s="74" t="s">
        <v>109</v>
      </c>
      <c r="D28" s="75">
        <v>306</v>
      </c>
      <c r="E28" s="75">
        <v>9115</v>
      </c>
      <c r="F28" s="76">
        <v>3.3571036752605594E-2</v>
      </c>
      <c r="G28" s="77">
        <v>0.934640522875817</v>
      </c>
      <c r="H28" s="77">
        <v>3.9215686274509803E-2</v>
      </c>
      <c r="I28" s="78">
        <v>210</v>
      </c>
      <c r="J28" s="78">
        <v>76</v>
      </c>
      <c r="K28" s="78">
        <v>5</v>
      </c>
      <c r="L28" s="78">
        <v>5</v>
      </c>
      <c r="M28" s="78">
        <v>7</v>
      </c>
      <c r="N28" s="78">
        <v>3</v>
      </c>
      <c r="O28" s="78">
        <v>1</v>
      </c>
      <c r="P28" s="78">
        <v>99</v>
      </c>
      <c r="Q28" s="78">
        <v>206</v>
      </c>
      <c r="R28" s="78">
        <v>0</v>
      </c>
      <c r="S28" s="78">
        <v>0</v>
      </c>
      <c r="T28" s="78">
        <v>0</v>
      </c>
      <c r="U28" s="78">
        <v>0</v>
      </c>
    </row>
    <row r="29" spans="1:21" x14ac:dyDescent="0.35">
      <c r="A29" s="74" t="s">
        <v>28</v>
      </c>
      <c r="B29" s="74" t="s">
        <v>110</v>
      </c>
      <c r="C29" s="74" t="s">
        <v>111</v>
      </c>
      <c r="D29" s="75">
        <v>1231</v>
      </c>
      <c r="E29" s="75">
        <v>10822</v>
      </c>
      <c r="F29" s="76">
        <v>0.11374976898909629</v>
      </c>
      <c r="G29" s="77">
        <v>0.82290820471161652</v>
      </c>
      <c r="H29" s="77">
        <v>0.11047928513403736</v>
      </c>
      <c r="I29" s="78">
        <v>829</v>
      </c>
      <c r="J29" s="78">
        <v>184</v>
      </c>
      <c r="K29" s="78">
        <v>58</v>
      </c>
      <c r="L29" s="78">
        <v>39</v>
      </c>
      <c r="M29" s="78">
        <v>97</v>
      </c>
      <c r="N29" s="78">
        <v>24</v>
      </c>
      <c r="O29" s="78">
        <v>1120</v>
      </c>
      <c r="P29" s="78">
        <v>0</v>
      </c>
      <c r="Q29" s="78">
        <v>111</v>
      </c>
      <c r="R29" s="78">
        <v>0</v>
      </c>
      <c r="S29" s="78">
        <v>0</v>
      </c>
      <c r="T29" s="78">
        <v>0</v>
      </c>
      <c r="U29" s="78">
        <v>0</v>
      </c>
    </row>
    <row r="30" spans="1:21" x14ac:dyDescent="0.35">
      <c r="A30" s="74" t="s">
        <v>28</v>
      </c>
      <c r="B30" s="74" t="s">
        <v>112</v>
      </c>
      <c r="C30" s="74" t="s">
        <v>113</v>
      </c>
      <c r="D30" s="75">
        <v>594</v>
      </c>
      <c r="E30" s="75">
        <v>14620</v>
      </c>
      <c r="F30" s="76">
        <v>4.0629274965800273E-2</v>
      </c>
      <c r="G30" s="77">
        <v>0.97811447811447816</v>
      </c>
      <c r="H30" s="77">
        <v>1.5151515151515152E-2</v>
      </c>
      <c r="I30" s="78">
        <v>485</v>
      </c>
      <c r="J30" s="78">
        <v>96</v>
      </c>
      <c r="K30" s="78">
        <v>2</v>
      </c>
      <c r="L30" s="78">
        <v>4</v>
      </c>
      <c r="M30" s="78">
        <v>5</v>
      </c>
      <c r="N30" s="78">
        <v>2</v>
      </c>
      <c r="O30" s="78">
        <v>57</v>
      </c>
      <c r="P30" s="78">
        <v>0</v>
      </c>
      <c r="Q30" s="78">
        <v>537</v>
      </c>
      <c r="R30" s="78">
        <v>0</v>
      </c>
      <c r="S30" s="78">
        <v>0</v>
      </c>
      <c r="T30" s="78">
        <v>0</v>
      </c>
      <c r="U30" s="78">
        <v>0</v>
      </c>
    </row>
    <row r="31" spans="1:21" x14ac:dyDescent="0.35">
      <c r="A31" s="74" t="s">
        <v>28</v>
      </c>
      <c r="B31" s="74" t="s">
        <v>114</v>
      </c>
      <c r="C31" s="74" t="s">
        <v>115</v>
      </c>
      <c r="D31" s="75">
        <v>436</v>
      </c>
      <c r="E31" s="75">
        <v>3585</v>
      </c>
      <c r="F31" s="76">
        <v>0.12161785216178522</v>
      </c>
      <c r="G31" s="77">
        <v>0.91284403669724767</v>
      </c>
      <c r="H31" s="77">
        <v>3.8990825688073397E-2</v>
      </c>
      <c r="I31" s="78">
        <v>328</v>
      </c>
      <c r="J31" s="78">
        <v>70</v>
      </c>
      <c r="K31" s="78">
        <v>17</v>
      </c>
      <c r="L31" s="78">
        <v>10</v>
      </c>
      <c r="M31" s="78">
        <v>7</v>
      </c>
      <c r="N31" s="78">
        <v>4</v>
      </c>
      <c r="O31" s="78">
        <v>0</v>
      </c>
      <c r="P31" s="78">
        <v>0</v>
      </c>
      <c r="Q31" s="78">
        <v>9</v>
      </c>
      <c r="R31" s="78">
        <v>0</v>
      </c>
      <c r="S31" s="78">
        <v>427</v>
      </c>
      <c r="T31" s="78">
        <v>0</v>
      </c>
      <c r="U31" s="78">
        <v>0</v>
      </c>
    </row>
    <row r="32" spans="1:21" x14ac:dyDescent="0.35">
      <c r="A32" s="74" t="s">
        <v>28</v>
      </c>
      <c r="B32" s="74" t="s">
        <v>116</v>
      </c>
      <c r="C32" s="74" t="s">
        <v>117</v>
      </c>
      <c r="D32" s="75">
        <v>1329</v>
      </c>
      <c r="E32" s="75">
        <v>8841</v>
      </c>
      <c r="F32" s="76">
        <v>0.15032236172378691</v>
      </c>
      <c r="G32" s="77">
        <v>0.81113619262603465</v>
      </c>
      <c r="H32" s="77">
        <v>0.12189616252821671</v>
      </c>
      <c r="I32" s="78">
        <v>843</v>
      </c>
      <c r="J32" s="78">
        <v>235</v>
      </c>
      <c r="K32" s="78">
        <v>50</v>
      </c>
      <c r="L32" s="78">
        <v>43</v>
      </c>
      <c r="M32" s="78">
        <v>119</v>
      </c>
      <c r="N32" s="78">
        <v>39</v>
      </c>
      <c r="O32" s="78">
        <v>1329</v>
      </c>
      <c r="P32" s="78">
        <v>0</v>
      </c>
      <c r="Q32" s="78">
        <v>0</v>
      </c>
      <c r="R32" s="78">
        <v>0</v>
      </c>
      <c r="S32" s="78">
        <v>0</v>
      </c>
      <c r="T32" s="78">
        <v>0</v>
      </c>
      <c r="U32" s="78">
        <v>0</v>
      </c>
    </row>
    <row r="33" spans="1:21" x14ac:dyDescent="0.35">
      <c r="A33" s="74" t="s">
        <v>28</v>
      </c>
      <c r="B33" s="74" t="s">
        <v>118</v>
      </c>
      <c r="C33" s="74" t="s">
        <v>119</v>
      </c>
      <c r="D33" s="75">
        <v>4790</v>
      </c>
      <c r="E33" s="75">
        <v>13015</v>
      </c>
      <c r="F33" s="76">
        <v>0.36803688052247407</v>
      </c>
      <c r="G33" s="77">
        <v>0.87411273486430063</v>
      </c>
      <c r="H33" s="77">
        <v>6.5135699373695205E-2</v>
      </c>
      <c r="I33" s="78">
        <v>3099</v>
      </c>
      <c r="J33" s="78">
        <v>1088</v>
      </c>
      <c r="K33" s="78">
        <v>145</v>
      </c>
      <c r="L33" s="78">
        <v>182</v>
      </c>
      <c r="M33" s="78">
        <v>130</v>
      </c>
      <c r="N33" s="78">
        <v>146</v>
      </c>
      <c r="O33" s="78">
        <v>1504</v>
      </c>
      <c r="P33" s="78">
        <v>0</v>
      </c>
      <c r="Q33" s="78">
        <v>3251</v>
      </c>
      <c r="R33" s="78">
        <v>0</v>
      </c>
      <c r="S33" s="78">
        <v>16</v>
      </c>
      <c r="T33" s="78">
        <v>19</v>
      </c>
      <c r="U33" s="78">
        <v>0</v>
      </c>
    </row>
    <row r="34" spans="1:21" x14ac:dyDescent="0.35">
      <c r="A34" s="74" t="s">
        <v>28</v>
      </c>
      <c r="B34" s="74" t="s">
        <v>120</v>
      </c>
      <c r="C34" s="74" t="s">
        <v>121</v>
      </c>
      <c r="D34" s="75">
        <v>1576</v>
      </c>
      <c r="E34" s="75">
        <v>13648</v>
      </c>
      <c r="F34" s="76">
        <v>0.11547479484173505</v>
      </c>
      <c r="G34" s="77">
        <v>0.91370558375634514</v>
      </c>
      <c r="H34" s="77">
        <v>5.7106598984771571E-2</v>
      </c>
      <c r="I34" s="78">
        <v>1165</v>
      </c>
      <c r="J34" s="78">
        <v>275</v>
      </c>
      <c r="K34" s="78">
        <v>39</v>
      </c>
      <c r="L34" s="78">
        <v>32</v>
      </c>
      <c r="M34" s="78">
        <v>58</v>
      </c>
      <c r="N34" s="78">
        <v>7</v>
      </c>
      <c r="O34" s="78">
        <v>0</v>
      </c>
      <c r="P34" s="78">
        <v>0</v>
      </c>
      <c r="Q34" s="78">
        <v>1573</v>
      </c>
      <c r="R34" s="78">
        <v>0</v>
      </c>
      <c r="S34" s="78">
        <v>0</v>
      </c>
      <c r="T34" s="78">
        <v>3</v>
      </c>
      <c r="U34" s="78">
        <v>0</v>
      </c>
    </row>
    <row r="35" spans="1:21" x14ac:dyDescent="0.35">
      <c r="A35" s="74" t="s">
        <v>28</v>
      </c>
      <c r="B35" s="74" t="s">
        <v>122</v>
      </c>
      <c r="C35" s="74" t="s">
        <v>123</v>
      </c>
      <c r="D35" s="75">
        <v>715</v>
      </c>
      <c r="E35" s="75">
        <v>10405</v>
      </c>
      <c r="F35" s="76">
        <v>6.8716962998558381E-2</v>
      </c>
      <c r="G35" s="77">
        <v>0.76223776223776218</v>
      </c>
      <c r="H35" s="77">
        <v>0.15524475524475526</v>
      </c>
      <c r="I35" s="78">
        <v>359</v>
      </c>
      <c r="J35" s="78">
        <v>186</v>
      </c>
      <c r="K35" s="78">
        <v>54</v>
      </c>
      <c r="L35" s="78">
        <v>44</v>
      </c>
      <c r="M35" s="78">
        <v>67</v>
      </c>
      <c r="N35" s="78">
        <v>5</v>
      </c>
      <c r="O35" s="78">
        <v>0</v>
      </c>
      <c r="P35" s="78">
        <v>0</v>
      </c>
      <c r="Q35" s="78">
        <v>119</v>
      </c>
      <c r="R35" s="78">
        <v>0</v>
      </c>
      <c r="S35" s="78">
        <v>0</v>
      </c>
      <c r="T35" s="78">
        <v>596</v>
      </c>
      <c r="U35" s="78">
        <v>0</v>
      </c>
    </row>
    <row r="36" spans="1:21" x14ac:dyDescent="0.35">
      <c r="A36" s="74" t="s">
        <v>28</v>
      </c>
      <c r="B36" s="74" t="s">
        <v>124</v>
      </c>
      <c r="C36" s="74" t="s">
        <v>125</v>
      </c>
      <c r="D36" s="75">
        <v>691</v>
      </c>
      <c r="E36" s="75">
        <v>4907</v>
      </c>
      <c r="F36" s="76">
        <v>0.14081923782351743</v>
      </c>
      <c r="G36" s="77">
        <v>0.80897250361794504</v>
      </c>
      <c r="H36" s="77">
        <v>0.1085383502170767</v>
      </c>
      <c r="I36" s="78">
        <v>497</v>
      </c>
      <c r="J36" s="78">
        <v>62</v>
      </c>
      <c r="K36" s="78">
        <v>35</v>
      </c>
      <c r="L36" s="78">
        <v>17</v>
      </c>
      <c r="M36" s="78">
        <v>58</v>
      </c>
      <c r="N36" s="78">
        <v>22</v>
      </c>
      <c r="O36" s="78">
        <v>0</v>
      </c>
      <c r="P36" s="78">
        <v>0</v>
      </c>
      <c r="Q36" s="78">
        <v>4</v>
      </c>
      <c r="R36" s="78">
        <v>0</v>
      </c>
      <c r="S36" s="78">
        <v>683</v>
      </c>
      <c r="T36" s="78">
        <v>4</v>
      </c>
      <c r="U36" s="78">
        <v>0</v>
      </c>
    </row>
    <row r="37" spans="1:21" x14ac:dyDescent="0.35">
      <c r="A37" s="74" t="s">
        <v>28</v>
      </c>
      <c r="B37" s="74" t="s">
        <v>126</v>
      </c>
      <c r="C37" s="74" t="s">
        <v>127</v>
      </c>
      <c r="D37" s="75">
        <v>1568</v>
      </c>
      <c r="E37" s="75">
        <v>9576</v>
      </c>
      <c r="F37" s="76">
        <v>0.16374269005847952</v>
      </c>
      <c r="G37" s="77">
        <v>0.81186224489795922</v>
      </c>
      <c r="H37" s="77">
        <v>0.12882653061224489</v>
      </c>
      <c r="I37" s="78">
        <v>1021</v>
      </c>
      <c r="J37" s="78">
        <v>252</v>
      </c>
      <c r="K37" s="78">
        <v>77</v>
      </c>
      <c r="L37" s="78">
        <v>72</v>
      </c>
      <c r="M37" s="78">
        <v>130</v>
      </c>
      <c r="N37" s="78">
        <v>16</v>
      </c>
      <c r="O37" s="78">
        <v>1208</v>
      </c>
      <c r="P37" s="78">
        <v>0</v>
      </c>
      <c r="Q37" s="78">
        <v>69</v>
      </c>
      <c r="R37" s="78">
        <v>0</v>
      </c>
      <c r="S37" s="78">
        <v>289</v>
      </c>
      <c r="T37" s="78">
        <v>2</v>
      </c>
      <c r="U37" s="78">
        <v>0</v>
      </c>
    </row>
    <row r="38" spans="1:21" x14ac:dyDescent="0.35">
      <c r="A38" s="74" t="s">
        <v>28</v>
      </c>
      <c r="B38" s="74" t="s">
        <v>128</v>
      </c>
      <c r="C38" s="74" t="s">
        <v>129</v>
      </c>
      <c r="D38" s="75">
        <v>71</v>
      </c>
      <c r="E38" s="75">
        <v>6331</v>
      </c>
      <c r="F38" s="76">
        <v>1.1214658031906492E-2</v>
      </c>
      <c r="G38" s="77">
        <v>0.95774647887323938</v>
      </c>
      <c r="H38" s="77">
        <v>4.2253521126760563E-2</v>
      </c>
      <c r="I38" s="78">
        <v>58</v>
      </c>
      <c r="J38" s="78">
        <v>10</v>
      </c>
      <c r="K38" s="78">
        <v>0</v>
      </c>
      <c r="L38" s="78">
        <v>1</v>
      </c>
      <c r="M38" s="78">
        <v>2</v>
      </c>
      <c r="N38" s="78">
        <v>0</v>
      </c>
      <c r="O38" s="78">
        <v>0</v>
      </c>
      <c r="P38" s="78">
        <v>0</v>
      </c>
      <c r="Q38" s="78">
        <v>71</v>
      </c>
      <c r="R38" s="78">
        <v>0</v>
      </c>
      <c r="S38" s="78">
        <v>0</v>
      </c>
      <c r="T38" s="78">
        <v>0</v>
      </c>
      <c r="U38" s="78">
        <v>0</v>
      </c>
    </row>
    <row r="39" spans="1:21" x14ac:dyDescent="0.35">
      <c r="A39" s="74" t="s">
        <v>28</v>
      </c>
      <c r="B39" s="74" t="s">
        <v>130</v>
      </c>
      <c r="C39" s="74" t="s">
        <v>131</v>
      </c>
      <c r="D39" s="75">
        <v>420</v>
      </c>
      <c r="E39" s="75">
        <v>6089</v>
      </c>
      <c r="F39" s="76">
        <v>6.8976843488257514E-2</v>
      </c>
      <c r="G39" s="77">
        <v>0.6785714285714286</v>
      </c>
      <c r="H39" s="77">
        <v>0.18333333333333332</v>
      </c>
      <c r="I39" s="78">
        <v>213</v>
      </c>
      <c r="J39" s="78">
        <v>72</v>
      </c>
      <c r="K39" s="78">
        <v>51</v>
      </c>
      <c r="L39" s="78">
        <v>35</v>
      </c>
      <c r="M39" s="78">
        <v>42</v>
      </c>
      <c r="N39" s="78">
        <v>7</v>
      </c>
      <c r="O39" s="78">
        <v>321</v>
      </c>
      <c r="P39" s="78">
        <v>0</v>
      </c>
      <c r="Q39" s="78">
        <v>99</v>
      </c>
      <c r="R39" s="78">
        <v>0</v>
      </c>
      <c r="S39" s="78">
        <v>0</v>
      </c>
      <c r="T39" s="78">
        <v>0</v>
      </c>
      <c r="U39" s="78">
        <v>0</v>
      </c>
    </row>
    <row r="40" spans="1:21" x14ac:dyDescent="0.35">
      <c r="A40" s="74" t="s">
        <v>30</v>
      </c>
      <c r="B40" s="74" t="s">
        <v>132</v>
      </c>
      <c r="C40" s="74" t="s">
        <v>133</v>
      </c>
      <c r="D40" s="75">
        <v>3248</v>
      </c>
      <c r="E40" s="75">
        <v>16016</v>
      </c>
      <c r="F40" s="76">
        <v>0.20279720279720279</v>
      </c>
      <c r="G40" s="77">
        <v>0.91040640394088668</v>
      </c>
      <c r="H40" s="77">
        <v>1.2315270935960592E-2</v>
      </c>
      <c r="I40" s="78">
        <v>1954</v>
      </c>
      <c r="J40" s="78">
        <v>1003</v>
      </c>
      <c r="K40" s="78">
        <v>111</v>
      </c>
      <c r="L40" s="78">
        <v>23</v>
      </c>
      <c r="M40" s="78">
        <v>17</v>
      </c>
      <c r="N40" s="78">
        <v>140</v>
      </c>
      <c r="O40" s="78">
        <v>0</v>
      </c>
      <c r="P40" s="78">
        <v>0</v>
      </c>
      <c r="Q40" s="78">
        <v>3248</v>
      </c>
      <c r="R40" s="78">
        <v>0</v>
      </c>
      <c r="S40" s="78">
        <v>0</v>
      </c>
      <c r="T40" s="78">
        <v>0</v>
      </c>
      <c r="U40" s="78">
        <v>0</v>
      </c>
    </row>
    <row r="41" spans="1:21" x14ac:dyDescent="0.35">
      <c r="A41" s="74" t="s">
        <v>30</v>
      </c>
      <c r="B41" s="74" t="s">
        <v>134</v>
      </c>
      <c r="C41" s="74" t="s">
        <v>135</v>
      </c>
      <c r="D41" s="75">
        <v>2344</v>
      </c>
      <c r="E41" s="75">
        <v>8591</v>
      </c>
      <c r="F41" s="76">
        <v>0.27284367361191947</v>
      </c>
      <c r="G41" s="77">
        <v>0.95947098976109213</v>
      </c>
      <c r="H41" s="77">
        <v>3.8395904436860067E-3</v>
      </c>
      <c r="I41" s="78">
        <v>1541</v>
      </c>
      <c r="J41" s="78">
        <v>708</v>
      </c>
      <c r="K41" s="78">
        <v>76</v>
      </c>
      <c r="L41" s="78">
        <v>6</v>
      </c>
      <c r="M41" s="78">
        <v>3</v>
      </c>
      <c r="N41" s="78">
        <v>10</v>
      </c>
      <c r="O41" s="78">
        <v>0</v>
      </c>
      <c r="P41" s="78">
        <v>0</v>
      </c>
      <c r="Q41" s="78">
        <v>2344</v>
      </c>
      <c r="R41" s="78">
        <v>0</v>
      </c>
      <c r="S41" s="78">
        <v>0</v>
      </c>
      <c r="T41" s="78">
        <v>0</v>
      </c>
      <c r="U41" s="78">
        <v>0</v>
      </c>
    </row>
    <row r="42" spans="1:21" x14ac:dyDescent="0.35">
      <c r="A42" s="74" t="s">
        <v>30</v>
      </c>
      <c r="B42" s="74" t="s">
        <v>136</v>
      </c>
      <c r="C42" s="74" t="s">
        <v>137</v>
      </c>
      <c r="D42" s="75">
        <v>853</v>
      </c>
      <c r="E42" s="75">
        <v>5734</v>
      </c>
      <c r="F42" s="76">
        <v>0.14876177188698989</v>
      </c>
      <c r="G42" s="77">
        <v>0.78780773739742083</v>
      </c>
      <c r="H42" s="77">
        <v>0.16295427901524032</v>
      </c>
      <c r="I42" s="78">
        <v>542</v>
      </c>
      <c r="J42" s="78">
        <v>130</v>
      </c>
      <c r="K42" s="78">
        <v>28</v>
      </c>
      <c r="L42" s="78">
        <v>44</v>
      </c>
      <c r="M42" s="78">
        <v>95</v>
      </c>
      <c r="N42" s="78">
        <v>14</v>
      </c>
      <c r="O42" s="78">
        <v>841</v>
      </c>
      <c r="P42" s="78">
        <v>0</v>
      </c>
      <c r="Q42" s="78">
        <v>12</v>
      </c>
      <c r="R42" s="78">
        <v>0</v>
      </c>
      <c r="S42" s="78">
        <v>0</v>
      </c>
      <c r="T42" s="78">
        <v>0</v>
      </c>
      <c r="U42" s="78">
        <v>0</v>
      </c>
    </row>
    <row r="43" spans="1:21" x14ac:dyDescent="0.35">
      <c r="A43" s="74" t="s">
        <v>30</v>
      </c>
      <c r="B43" s="74" t="s">
        <v>138</v>
      </c>
      <c r="C43" s="74" t="s">
        <v>139</v>
      </c>
      <c r="D43" s="75">
        <v>34</v>
      </c>
      <c r="E43" s="75">
        <v>3830</v>
      </c>
      <c r="F43" s="76">
        <v>8.8772845953002614E-3</v>
      </c>
      <c r="G43" s="77">
        <v>0.73529411764705888</v>
      </c>
      <c r="H43" s="77">
        <v>0.23529411764705882</v>
      </c>
      <c r="I43" s="78">
        <v>24</v>
      </c>
      <c r="J43" s="78">
        <v>1</v>
      </c>
      <c r="K43" s="78">
        <v>0</v>
      </c>
      <c r="L43" s="78">
        <v>2</v>
      </c>
      <c r="M43" s="78">
        <v>6</v>
      </c>
      <c r="N43" s="78">
        <v>1</v>
      </c>
      <c r="O43" s="78">
        <v>0</v>
      </c>
      <c r="P43" s="78">
        <v>0</v>
      </c>
      <c r="Q43" s="78">
        <v>0</v>
      </c>
      <c r="R43" s="78">
        <v>34</v>
      </c>
      <c r="S43" s="78">
        <v>0</v>
      </c>
      <c r="T43" s="78">
        <v>0</v>
      </c>
      <c r="U43" s="78">
        <v>0</v>
      </c>
    </row>
    <row r="44" spans="1:21" x14ac:dyDescent="0.35">
      <c r="A44" s="74" t="s">
        <v>30</v>
      </c>
      <c r="B44" s="74" t="s">
        <v>140</v>
      </c>
      <c r="C44" s="74" t="s">
        <v>141</v>
      </c>
      <c r="D44" s="75">
        <v>1062</v>
      </c>
      <c r="E44" s="75">
        <v>15736</v>
      </c>
      <c r="F44" s="76">
        <v>6.7488561260803256E-2</v>
      </c>
      <c r="G44" s="77">
        <v>0.83427495291902076</v>
      </c>
      <c r="H44" s="77">
        <v>8.851224105461393E-2</v>
      </c>
      <c r="I44" s="78">
        <v>663</v>
      </c>
      <c r="J44" s="78">
        <v>223</v>
      </c>
      <c r="K44" s="78">
        <v>74</v>
      </c>
      <c r="L44" s="78">
        <v>40</v>
      </c>
      <c r="M44" s="78">
        <v>54</v>
      </c>
      <c r="N44" s="78">
        <v>8</v>
      </c>
      <c r="O44" s="78">
        <v>607</v>
      </c>
      <c r="P44" s="78">
        <v>0</v>
      </c>
      <c r="Q44" s="78">
        <v>267</v>
      </c>
      <c r="R44" s="78">
        <v>188</v>
      </c>
      <c r="S44" s="78">
        <v>0</v>
      </c>
      <c r="T44" s="78">
        <v>0</v>
      </c>
      <c r="U44" s="78">
        <v>0</v>
      </c>
    </row>
    <row r="45" spans="1:21" x14ac:dyDescent="0.35">
      <c r="A45" s="74" t="s">
        <v>30</v>
      </c>
      <c r="B45" s="74" t="s">
        <v>142</v>
      </c>
      <c r="C45" s="74" t="s">
        <v>143</v>
      </c>
      <c r="D45" s="75">
        <v>237</v>
      </c>
      <c r="E45" s="75">
        <v>15756</v>
      </c>
      <c r="F45" s="76">
        <v>1.5041888804265042E-2</v>
      </c>
      <c r="G45" s="77">
        <v>0.8270042194092827</v>
      </c>
      <c r="H45" s="77">
        <v>8.8607594936708861E-2</v>
      </c>
      <c r="I45" s="78">
        <v>137</v>
      </c>
      <c r="J45" s="78">
        <v>59</v>
      </c>
      <c r="K45" s="78">
        <v>17</v>
      </c>
      <c r="L45" s="78">
        <v>12</v>
      </c>
      <c r="M45" s="78">
        <v>9</v>
      </c>
      <c r="N45" s="78">
        <v>3</v>
      </c>
      <c r="O45" s="78">
        <v>0</v>
      </c>
      <c r="P45" s="78">
        <v>0</v>
      </c>
      <c r="Q45" s="78">
        <v>237</v>
      </c>
      <c r="R45" s="78">
        <v>0</v>
      </c>
      <c r="S45" s="78">
        <v>0</v>
      </c>
      <c r="T45" s="78">
        <v>0</v>
      </c>
      <c r="U45" s="78">
        <v>0</v>
      </c>
    </row>
    <row r="46" spans="1:21" x14ac:dyDescent="0.35">
      <c r="A46" s="74" t="s">
        <v>30</v>
      </c>
      <c r="B46" s="74" t="s">
        <v>144</v>
      </c>
      <c r="C46" s="74" t="s">
        <v>145</v>
      </c>
      <c r="D46" s="75">
        <v>160</v>
      </c>
      <c r="E46" s="75">
        <v>16774</v>
      </c>
      <c r="F46" s="76">
        <v>9.5385715989030635E-3</v>
      </c>
      <c r="G46" s="77">
        <v>0.88749999999999996</v>
      </c>
      <c r="H46" s="77">
        <v>8.7499999999999994E-2</v>
      </c>
      <c r="I46" s="78">
        <v>128</v>
      </c>
      <c r="J46" s="78">
        <v>14</v>
      </c>
      <c r="K46" s="78">
        <v>2</v>
      </c>
      <c r="L46" s="78">
        <v>3</v>
      </c>
      <c r="M46" s="78">
        <v>11</v>
      </c>
      <c r="N46" s="78">
        <v>2</v>
      </c>
      <c r="O46" s="78">
        <v>0</v>
      </c>
      <c r="P46" s="78">
        <v>0</v>
      </c>
      <c r="Q46" s="78">
        <v>12</v>
      </c>
      <c r="R46" s="78">
        <v>0</v>
      </c>
      <c r="S46" s="78">
        <v>0</v>
      </c>
      <c r="T46" s="78">
        <v>148</v>
      </c>
      <c r="U46" s="78">
        <v>0</v>
      </c>
    </row>
    <row r="47" spans="1:21" x14ac:dyDescent="0.35">
      <c r="A47" s="74" t="s">
        <v>32</v>
      </c>
      <c r="B47" s="74" t="s">
        <v>146</v>
      </c>
      <c r="C47" s="74" t="s">
        <v>147</v>
      </c>
      <c r="D47" s="75">
        <v>739</v>
      </c>
      <c r="E47" s="75">
        <v>4244</v>
      </c>
      <c r="F47" s="76">
        <v>0.17412818096135721</v>
      </c>
      <c r="G47" s="77">
        <v>0.86738836265223274</v>
      </c>
      <c r="H47" s="77">
        <v>9.6075778078484442E-2</v>
      </c>
      <c r="I47" s="78">
        <v>532</v>
      </c>
      <c r="J47" s="78">
        <v>109</v>
      </c>
      <c r="K47" s="78">
        <v>21</v>
      </c>
      <c r="L47" s="78">
        <v>24</v>
      </c>
      <c r="M47" s="78">
        <v>47</v>
      </c>
      <c r="N47" s="78">
        <v>6</v>
      </c>
      <c r="O47" s="78">
        <v>565</v>
      </c>
      <c r="P47" s="78">
        <v>0</v>
      </c>
      <c r="Q47" s="78">
        <v>0</v>
      </c>
      <c r="R47" s="78">
        <v>0</v>
      </c>
      <c r="S47" s="78">
        <v>174</v>
      </c>
      <c r="T47" s="78">
        <v>0</v>
      </c>
      <c r="U47" s="78">
        <v>0</v>
      </c>
    </row>
    <row r="48" spans="1:21" x14ac:dyDescent="0.35">
      <c r="A48" s="74" t="s">
        <v>32</v>
      </c>
      <c r="B48" s="74" t="s">
        <v>148</v>
      </c>
      <c r="C48" s="74" t="s">
        <v>149</v>
      </c>
      <c r="D48" s="75">
        <v>186</v>
      </c>
      <c r="E48" s="75">
        <v>5200</v>
      </c>
      <c r="F48" s="76">
        <v>3.5769230769230768E-2</v>
      </c>
      <c r="G48" s="77">
        <v>0.82795698924731187</v>
      </c>
      <c r="H48" s="77">
        <v>6.4516129032258063E-2</v>
      </c>
      <c r="I48" s="78">
        <v>106</v>
      </c>
      <c r="J48" s="78">
        <v>48</v>
      </c>
      <c r="K48" s="78">
        <v>10</v>
      </c>
      <c r="L48" s="78">
        <v>7</v>
      </c>
      <c r="M48" s="78">
        <v>5</v>
      </c>
      <c r="N48" s="78">
        <v>10</v>
      </c>
      <c r="O48" s="78">
        <v>0</v>
      </c>
      <c r="P48" s="78">
        <v>186</v>
      </c>
      <c r="Q48" s="78">
        <v>0</v>
      </c>
      <c r="R48" s="78">
        <v>0</v>
      </c>
      <c r="S48" s="78">
        <v>0</v>
      </c>
      <c r="T48" s="78">
        <v>0</v>
      </c>
      <c r="U48" s="78">
        <v>0</v>
      </c>
    </row>
    <row r="49" spans="1:21" x14ac:dyDescent="0.35">
      <c r="A49" s="74" t="s">
        <v>32</v>
      </c>
      <c r="B49" s="74" t="s">
        <v>150</v>
      </c>
      <c r="C49" s="74" t="s">
        <v>151</v>
      </c>
      <c r="D49" s="75">
        <v>646</v>
      </c>
      <c r="E49" s="75">
        <v>3953</v>
      </c>
      <c r="F49" s="76">
        <v>0.16342018719959525</v>
      </c>
      <c r="G49" s="77">
        <v>0.76470588235294112</v>
      </c>
      <c r="H49" s="77">
        <v>0.14551083591331268</v>
      </c>
      <c r="I49" s="78">
        <v>408</v>
      </c>
      <c r="J49" s="78">
        <v>86</v>
      </c>
      <c r="K49" s="78">
        <v>50</v>
      </c>
      <c r="L49" s="78">
        <v>32</v>
      </c>
      <c r="M49" s="78">
        <v>62</v>
      </c>
      <c r="N49" s="78">
        <v>8</v>
      </c>
      <c r="O49" s="78">
        <v>552</v>
      </c>
      <c r="P49" s="78">
        <v>0</v>
      </c>
      <c r="Q49" s="78">
        <v>0</v>
      </c>
      <c r="R49" s="78">
        <v>0</v>
      </c>
      <c r="S49" s="78">
        <v>94</v>
      </c>
      <c r="T49" s="78">
        <v>0</v>
      </c>
      <c r="U49" s="78">
        <v>0</v>
      </c>
    </row>
    <row r="50" spans="1:21" x14ac:dyDescent="0.35">
      <c r="A50" s="74" t="s">
        <v>32</v>
      </c>
      <c r="B50" s="74" t="s">
        <v>152</v>
      </c>
      <c r="C50" s="74" t="s">
        <v>153</v>
      </c>
      <c r="D50" s="75">
        <v>662</v>
      </c>
      <c r="E50" s="75">
        <v>3337</v>
      </c>
      <c r="F50" s="76">
        <v>0.19838178004195386</v>
      </c>
      <c r="G50" s="77">
        <v>0.83836858006042292</v>
      </c>
      <c r="H50" s="77">
        <v>0.11027190332326284</v>
      </c>
      <c r="I50" s="78">
        <v>460</v>
      </c>
      <c r="J50" s="78">
        <v>95</v>
      </c>
      <c r="K50" s="78">
        <v>27</v>
      </c>
      <c r="L50" s="78">
        <v>27</v>
      </c>
      <c r="M50" s="78">
        <v>46</v>
      </c>
      <c r="N50" s="78">
        <v>7</v>
      </c>
      <c r="O50" s="78">
        <v>527</v>
      </c>
      <c r="P50" s="78">
        <v>0</v>
      </c>
      <c r="Q50" s="78">
        <v>0</v>
      </c>
      <c r="R50" s="78">
        <v>0</v>
      </c>
      <c r="S50" s="78">
        <v>135</v>
      </c>
      <c r="T50" s="78">
        <v>0</v>
      </c>
      <c r="U50" s="78">
        <v>0</v>
      </c>
    </row>
    <row r="51" spans="1:21" x14ac:dyDescent="0.35">
      <c r="A51" s="74" t="s">
        <v>32</v>
      </c>
      <c r="B51" s="74" t="s">
        <v>154</v>
      </c>
      <c r="C51" s="74" t="s">
        <v>155</v>
      </c>
      <c r="D51" s="75">
        <v>27</v>
      </c>
      <c r="E51" s="75">
        <v>1045</v>
      </c>
      <c r="F51" s="76">
        <v>2.583732057416268E-2</v>
      </c>
      <c r="G51" s="77">
        <v>0.92592592592592593</v>
      </c>
      <c r="H51" s="77">
        <v>0</v>
      </c>
      <c r="I51" s="78">
        <v>15</v>
      </c>
      <c r="J51" s="78">
        <v>10</v>
      </c>
      <c r="K51" s="78">
        <v>1</v>
      </c>
      <c r="L51" s="78">
        <v>0</v>
      </c>
      <c r="M51" s="78">
        <v>0</v>
      </c>
      <c r="N51" s="78">
        <v>1</v>
      </c>
      <c r="O51" s="78">
        <v>0</v>
      </c>
      <c r="P51" s="78">
        <v>0</v>
      </c>
      <c r="Q51" s="78">
        <v>0</v>
      </c>
      <c r="R51" s="78">
        <v>0</v>
      </c>
      <c r="S51" s="78">
        <v>0</v>
      </c>
      <c r="T51" s="78">
        <v>27</v>
      </c>
      <c r="U51" s="78">
        <v>0</v>
      </c>
    </row>
    <row r="52" spans="1:21" x14ac:dyDescent="0.35">
      <c r="A52" s="74" t="s">
        <v>32</v>
      </c>
      <c r="B52" s="74" t="s">
        <v>156</v>
      </c>
      <c r="C52" s="74" t="s">
        <v>157</v>
      </c>
      <c r="D52" s="75">
        <v>1231</v>
      </c>
      <c r="E52" s="75">
        <v>7555</v>
      </c>
      <c r="F52" s="76">
        <v>0.16293845135671742</v>
      </c>
      <c r="G52" s="77">
        <v>0.84809098294069862</v>
      </c>
      <c r="H52" s="77">
        <v>0.10560519902518278</v>
      </c>
      <c r="I52" s="78">
        <v>849</v>
      </c>
      <c r="J52" s="78">
        <v>195</v>
      </c>
      <c r="K52" s="78">
        <v>43</v>
      </c>
      <c r="L52" s="78">
        <v>51</v>
      </c>
      <c r="M52" s="78">
        <v>79</v>
      </c>
      <c r="N52" s="78">
        <v>14</v>
      </c>
      <c r="O52" s="78">
        <v>941</v>
      </c>
      <c r="P52" s="78">
        <v>60</v>
      </c>
      <c r="Q52" s="78">
        <v>16</v>
      </c>
      <c r="R52" s="78">
        <v>0</v>
      </c>
      <c r="S52" s="78">
        <v>214</v>
      </c>
      <c r="T52" s="78">
        <v>0</v>
      </c>
      <c r="U52" s="78">
        <v>0</v>
      </c>
    </row>
    <row r="53" spans="1:21" x14ac:dyDescent="0.35">
      <c r="A53" s="74" t="s">
        <v>32</v>
      </c>
      <c r="B53" s="74" t="s">
        <v>158</v>
      </c>
      <c r="C53" s="74" t="s">
        <v>159</v>
      </c>
      <c r="D53" s="75">
        <v>798</v>
      </c>
      <c r="E53" s="75">
        <v>4567</v>
      </c>
      <c r="F53" s="76">
        <v>0.17473177140354718</v>
      </c>
      <c r="G53" s="77">
        <v>0.81328320802005016</v>
      </c>
      <c r="H53" s="77">
        <v>0.13032581453634084</v>
      </c>
      <c r="I53" s="78">
        <v>479</v>
      </c>
      <c r="J53" s="78">
        <v>170</v>
      </c>
      <c r="K53" s="78">
        <v>31</v>
      </c>
      <c r="L53" s="78">
        <v>29</v>
      </c>
      <c r="M53" s="78">
        <v>75</v>
      </c>
      <c r="N53" s="78">
        <v>14</v>
      </c>
      <c r="O53" s="78">
        <v>655</v>
      </c>
      <c r="P53" s="78">
        <v>0</v>
      </c>
      <c r="Q53" s="78">
        <v>0</v>
      </c>
      <c r="R53" s="78">
        <v>0</v>
      </c>
      <c r="S53" s="78">
        <v>143</v>
      </c>
      <c r="T53" s="78">
        <v>0</v>
      </c>
      <c r="U53" s="78">
        <v>0</v>
      </c>
    </row>
    <row r="54" spans="1:21" x14ac:dyDescent="0.35">
      <c r="A54" s="74" t="s">
        <v>32</v>
      </c>
      <c r="B54" s="74" t="s">
        <v>160</v>
      </c>
      <c r="C54" s="74" t="s">
        <v>161</v>
      </c>
      <c r="D54" s="75">
        <v>76</v>
      </c>
      <c r="E54" s="75">
        <v>5095</v>
      </c>
      <c r="F54" s="76">
        <v>1.4916584887144259E-2</v>
      </c>
      <c r="G54" s="77">
        <v>0.88157894736842102</v>
      </c>
      <c r="H54" s="77">
        <v>9.2105263157894732E-2</v>
      </c>
      <c r="I54" s="78">
        <v>58</v>
      </c>
      <c r="J54" s="78">
        <v>9</v>
      </c>
      <c r="K54" s="78">
        <v>2</v>
      </c>
      <c r="L54" s="78">
        <v>0</v>
      </c>
      <c r="M54" s="78">
        <v>7</v>
      </c>
      <c r="N54" s="78">
        <v>0</v>
      </c>
      <c r="O54" s="78">
        <v>0</v>
      </c>
      <c r="P54" s="78">
        <v>0</v>
      </c>
      <c r="Q54" s="78">
        <v>76</v>
      </c>
      <c r="R54" s="78">
        <v>0</v>
      </c>
      <c r="S54" s="78">
        <v>0</v>
      </c>
      <c r="T54" s="78">
        <v>0</v>
      </c>
      <c r="U54" s="78">
        <v>0</v>
      </c>
    </row>
    <row r="55" spans="1:21" x14ac:dyDescent="0.35">
      <c r="A55" s="74" t="s">
        <v>32</v>
      </c>
      <c r="B55" s="74" t="s">
        <v>162</v>
      </c>
      <c r="C55" s="74" t="s">
        <v>163</v>
      </c>
      <c r="D55" s="75">
        <v>772</v>
      </c>
      <c r="E55" s="75">
        <v>4097</v>
      </c>
      <c r="F55" s="76">
        <v>0.18843055894556993</v>
      </c>
      <c r="G55" s="77">
        <v>0.83678756476683935</v>
      </c>
      <c r="H55" s="77">
        <v>0.11139896373056994</v>
      </c>
      <c r="I55" s="78">
        <v>533</v>
      </c>
      <c r="J55" s="78">
        <v>113</v>
      </c>
      <c r="K55" s="78">
        <v>34</v>
      </c>
      <c r="L55" s="78">
        <v>37</v>
      </c>
      <c r="M55" s="78">
        <v>49</v>
      </c>
      <c r="N55" s="78">
        <v>6</v>
      </c>
      <c r="O55" s="78">
        <v>622</v>
      </c>
      <c r="P55" s="78">
        <v>0</v>
      </c>
      <c r="Q55" s="78">
        <v>6</v>
      </c>
      <c r="R55" s="78">
        <v>0</v>
      </c>
      <c r="S55" s="78">
        <v>144</v>
      </c>
      <c r="T55" s="78">
        <v>0</v>
      </c>
      <c r="U55" s="78">
        <v>0</v>
      </c>
    </row>
    <row r="56" spans="1:21" x14ac:dyDescent="0.35">
      <c r="A56" s="74" t="s">
        <v>32</v>
      </c>
      <c r="B56" s="74" t="s">
        <v>164</v>
      </c>
      <c r="C56" s="74" t="s">
        <v>165</v>
      </c>
      <c r="D56" s="75">
        <v>1515</v>
      </c>
      <c r="E56" s="75">
        <v>7940</v>
      </c>
      <c r="F56" s="76">
        <v>0.19080604534005038</v>
      </c>
      <c r="G56" s="77">
        <v>0.81650165016501652</v>
      </c>
      <c r="H56" s="77">
        <v>0.13333333333333333</v>
      </c>
      <c r="I56" s="78">
        <v>988</v>
      </c>
      <c r="J56" s="78">
        <v>249</v>
      </c>
      <c r="K56" s="78">
        <v>60</v>
      </c>
      <c r="L56" s="78">
        <v>77</v>
      </c>
      <c r="M56" s="78">
        <v>125</v>
      </c>
      <c r="N56" s="78">
        <v>16</v>
      </c>
      <c r="O56" s="78">
        <v>1196</v>
      </c>
      <c r="P56" s="78">
        <v>0</v>
      </c>
      <c r="Q56" s="78">
        <v>84</v>
      </c>
      <c r="R56" s="78">
        <v>0</v>
      </c>
      <c r="S56" s="78">
        <v>235</v>
      </c>
      <c r="T56" s="78">
        <v>0</v>
      </c>
      <c r="U56" s="78">
        <v>0</v>
      </c>
    </row>
    <row r="57" spans="1:21" x14ac:dyDescent="0.35">
      <c r="A57" s="74" t="s">
        <v>32</v>
      </c>
      <c r="B57" s="74" t="s">
        <v>166</v>
      </c>
      <c r="C57" s="74" t="s">
        <v>167</v>
      </c>
      <c r="D57" s="75">
        <v>680</v>
      </c>
      <c r="E57" s="75">
        <v>5909</v>
      </c>
      <c r="F57" s="76">
        <v>0.11507869351836182</v>
      </c>
      <c r="G57" s="77">
        <v>0.90588235294117647</v>
      </c>
      <c r="H57" s="77">
        <v>5.4411764705882354E-2</v>
      </c>
      <c r="I57" s="78">
        <v>525</v>
      </c>
      <c r="J57" s="78">
        <v>91</v>
      </c>
      <c r="K57" s="78">
        <v>23</v>
      </c>
      <c r="L57" s="78">
        <v>13</v>
      </c>
      <c r="M57" s="78">
        <v>24</v>
      </c>
      <c r="N57" s="78">
        <v>4</v>
      </c>
      <c r="O57" s="78">
        <v>471</v>
      </c>
      <c r="P57" s="78">
        <v>0</v>
      </c>
      <c r="Q57" s="78">
        <v>37</v>
      </c>
      <c r="R57" s="78">
        <v>0</v>
      </c>
      <c r="S57" s="78">
        <v>172</v>
      </c>
      <c r="T57" s="78">
        <v>0</v>
      </c>
      <c r="U57" s="78">
        <v>0</v>
      </c>
    </row>
    <row r="58" spans="1:21" x14ac:dyDescent="0.35">
      <c r="A58" s="74" t="s">
        <v>38</v>
      </c>
      <c r="B58" s="74" t="s">
        <v>168</v>
      </c>
      <c r="C58" s="74" t="s">
        <v>169</v>
      </c>
      <c r="D58" s="75">
        <v>440</v>
      </c>
      <c r="E58" s="75">
        <v>5666</v>
      </c>
      <c r="F58" s="76">
        <v>7.7656194846452517E-2</v>
      </c>
      <c r="G58" s="77">
        <v>0.78863636363636369</v>
      </c>
      <c r="H58" s="77">
        <v>0.12272727272727273</v>
      </c>
      <c r="I58" s="78">
        <v>254</v>
      </c>
      <c r="J58" s="78">
        <v>93</v>
      </c>
      <c r="K58" s="78">
        <v>32</v>
      </c>
      <c r="L58" s="78">
        <v>28</v>
      </c>
      <c r="M58" s="78">
        <v>26</v>
      </c>
      <c r="N58" s="78">
        <v>7</v>
      </c>
      <c r="O58" s="78">
        <v>412</v>
      </c>
      <c r="P58" s="78">
        <v>12</v>
      </c>
      <c r="Q58" s="78">
        <v>16</v>
      </c>
      <c r="R58" s="78">
        <v>0</v>
      </c>
      <c r="S58" s="78">
        <v>0</v>
      </c>
      <c r="T58" s="78">
        <v>0</v>
      </c>
      <c r="U58" s="78">
        <v>0</v>
      </c>
    </row>
    <row r="59" spans="1:21" x14ac:dyDescent="0.35">
      <c r="A59" s="74" t="s">
        <v>38</v>
      </c>
      <c r="B59" s="74" t="s">
        <v>170</v>
      </c>
      <c r="C59" s="74" t="s">
        <v>171</v>
      </c>
      <c r="D59" s="75">
        <v>1158</v>
      </c>
      <c r="E59" s="75">
        <v>11229</v>
      </c>
      <c r="F59" s="76">
        <v>0.10312583489179802</v>
      </c>
      <c r="G59" s="77">
        <v>0.87219343696027629</v>
      </c>
      <c r="H59" s="77">
        <v>7.3402417962003461E-2</v>
      </c>
      <c r="I59" s="78">
        <v>853</v>
      </c>
      <c r="J59" s="78">
        <v>157</v>
      </c>
      <c r="K59" s="78">
        <v>37</v>
      </c>
      <c r="L59" s="78">
        <v>18</v>
      </c>
      <c r="M59" s="78">
        <v>67</v>
      </c>
      <c r="N59" s="78">
        <v>26</v>
      </c>
      <c r="O59" s="78">
        <v>0</v>
      </c>
      <c r="P59" s="78">
        <v>0</v>
      </c>
      <c r="Q59" s="78">
        <v>1158</v>
      </c>
      <c r="R59" s="78">
        <v>0</v>
      </c>
      <c r="S59" s="78">
        <v>0</v>
      </c>
      <c r="T59" s="78">
        <v>0</v>
      </c>
      <c r="U59" s="78">
        <v>0</v>
      </c>
    </row>
    <row r="60" spans="1:21" x14ac:dyDescent="0.35">
      <c r="A60" s="74" t="s">
        <v>38</v>
      </c>
      <c r="B60" s="74" t="s">
        <v>172</v>
      </c>
      <c r="C60" s="74" t="s">
        <v>173</v>
      </c>
      <c r="D60" s="75">
        <v>992</v>
      </c>
      <c r="E60" s="75">
        <v>9144</v>
      </c>
      <c r="F60" s="76">
        <v>0.10848643919510061</v>
      </c>
      <c r="G60" s="77">
        <v>0.91229838709677424</v>
      </c>
      <c r="H60" s="77">
        <v>4.7379032258064516E-2</v>
      </c>
      <c r="I60" s="78">
        <v>708</v>
      </c>
      <c r="J60" s="78">
        <v>197</v>
      </c>
      <c r="K60" s="78">
        <v>38</v>
      </c>
      <c r="L60" s="78">
        <v>24</v>
      </c>
      <c r="M60" s="78">
        <v>23</v>
      </c>
      <c r="N60" s="78">
        <v>2</v>
      </c>
      <c r="O60" s="78">
        <v>368</v>
      </c>
      <c r="P60" s="78">
        <v>23</v>
      </c>
      <c r="Q60" s="78">
        <v>601</v>
      </c>
      <c r="R60" s="78">
        <v>0</v>
      </c>
      <c r="S60" s="78">
        <v>0</v>
      </c>
      <c r="T60" s="78">
        <v>0</v>
      </c>
      <c r="U60" s="78">
        <v>0</v>
      </c>
    </row>
    <row r="61" spans="1:21" x14ac:dyDescent="0.35">
      <c r="A61" s="74" t="s">
        <v>38</v>
      </c>
      <c r="B61" s="74" t="s">
        <v>174</v>
      </c>
      <c r="C61" s="74" t="s">
        <v>175</v>
      </c>
      <c r="D61" s="75">
        <v>575</v>
      </c>
      <c r="E61" s="75">
        <v>8679</v>
      </c>
      <c r="F61" s="76">
        <v>6.625187233552253E-2</v>
      </c>
      <c r="G61" s="77">
        <v>0.95304347826086955</v>
      </c>
      <c r="H61" s="77">
        <v>6.956521739130435E-3</v>
      </c>
      <c r="I61" s="78">
        <v>453</v>
      </c>
      <c r="J61" s="78">
        <v>95</v>
      </c>
      <c r="K61" s="78">
        <v>13</v>
      </c>
      <c r="L61" s="78">
        <v>3</v>
      </c>
      <c r="M61" s="78">
        <v>1</v>
      </c>
      <c r="N61" s="78">
        <v>10</v>
      </c>
      <c r="O61" s="78">
        <v>0</v>
      </c>
      <c r="P61" s="78">
        <v>0</v>
      </c>
      <c r="Q61" s="78">
        <v>575</v>
      </c>
      <c r="R61" s="78">
        <v>0</v>
      </c>
      <c r="S61" s="78">
        <v>0</v>
      </c>
      <c r="T61" s="78">
        <v>0</v>
      </c>
      <c r="U61" s="78">
        <v>0</v>
      </c>
    </row>
    <row r="62" spans="1:21" x14ac:dyDescent="0.35">
      <c r="A62" s="74" t="s">
        <v>38</v>
      </c>
      <c r="B62" s="74" t="s">
        <v>176</v>
      </c>
      <c r="C62" s="74" t="s">
        <v>177</v>
      </c>
      <c r="D62" s="75">
        <v>978</v>
      </c>
      <c r="E62" s="75">
        <v>19563</v>
      </c>
      <c r="F62" s="76">
        <v>4.9992332464345958E-2</v>
      </c>
      <c r="G62" s="77">
        <v>0.76891615541922287</v>
      </c>
      <c r="H62" s="77">
        <v>0.14008179959100203</v>
      </c>
      <c r="I62" s="78">
        <v>520</v>
      </c>
      <c r="J62" s="78">
        <v>232</v>
      </c>
      <c r="K62" s="78">
        <v>77</v>
      </c>
      <c r="L62" s="78">
        <v>65</v>
      </c>
      <c r="M62" s="78">
        <v>72</v>
      </c>
      <c r="N62" s="78">
        <v>12</v>
      </c>
      <c r="O62" s="78">
        <v>941</v>
      </c>
      <c r="P62" s="78">
        <v>0</v>
      </c>
      <c r="Q62" s="78">
        <v>37</v>
      </c>
      <c r="R62" s="78">
        <v>0</v>
      </c>
      <c r="S62" s="78">
        <v>0</v>
      </c>
      <c r="T62" s="78">
        <v>0</v>
      </c>
      <c r="U62" s="78">
        <v>0</v>
      </c>
    </row>
    <row r="63" spans="1:21" x14ac:dyDescent="0.35">
      <c r="A63" s="74" t="s">
        <v>38</v>
      </c>
      <c r="B63" s="74" t="s">
        <v>178</v>
      </c>
      <c r="C63" s="74" t="s">
        <v>179</v>
      </c>
      <c r="D63" s="75">
        <v>4324</v>
      </c>
      <c r="E63" s="75">
        <v>14574</v>
      </c>
      <c r="F63" s="76">
        <v>0.29669274049677508</v>
      </c>
      <c r="G63" s="77">
        <v>0.65309898242368181</v>
      </c>
      <c r="H63" s="77">
        <v>0.21091581868640147</v>
      </c>
      <c r="I63" s="78">
        <v>2278</v>
      </c>
      <c r="J63" s="78">
        <v>546</v>
      </c>
      <c r="K63" s="78">
        <v>410</v>
      </c>
      <c r="L63" s="78">
        <v>302</v>
      </c>
      <c r="M63" s="78">
        <v>610</v>
      </c>
      <c r="N63" s="78">
        <v>178</v>
      </c>
      <c r="O63" s="78">
        <v>0</v>
      </c>
      <c r="P63" s="78">
        <v>0</v>
      </c>
      <c r="Q63" s="78">
        <v>5</v>
      </c>
      <c r="R63" s="78">
        <v>0</v>
      </c>
      <c r="S63" s="78">
        <v>4319</v>
      </c>
      <c r="T63" s="78">
        <v>0</v>
      </c>
      <c r="U63" s="78">
        <v>0</v>
      </c>
    </row>
    <row r="64" spans="1:21" x14ac:dyDescent="0.35">
      <c r="A64" s="74" t="s">
        <v>40</v>
      </c>
      <c r="B64" s="74" t="s">
        <v>180</v>
      </c>
      <c r="C64" s="74" t="s">
        <v>181</v>
      </c>
      <c r="D64" s="75">
        <v>17</v>
      </c>
      <c r="E64" s="75">
        <v>5059</v>
      </c>
      <c r="F64" s="76">
        <v>3.3603478948408777E-3</v>
      </c>
      <c r="G64" s="77">
        <v>0.94117647058823528</v>
      </c>
      <c r="H64" s="77">
        <v>5.8823529411764705E-2</v>
      </c>
      <c r="I64" s="78">
        <v>16</v>
      </c>
      <c r="J64" s="78">
        <v>0</v>
      </c>
      <c r="K64" s="78">
        <v>0</v>
      </c>
      <c r="L64" s="78">
        <v>1</v>
      </c>
      <c r="M64" s="78">
        <v>0</v>
      </c>
      <c r="N64" s="78">
        <v>0</v>
      </c>
      <c r="O64" s="78">
        <v>0</v>
      </c>
      <c r="P64" s="78">
        <v>0</v>
      </c>
      <c r="Q64" s="78">
        <v>17</v>
      </c>
      <c r="R64" s="78">
        <v>0</v>
      </c>
      <c r="S64" s="78">
        <v>0</v>
      </c>
      <c r="T64" s="78">
        <v>0</v>
      </c>
      <c r="U64" s="78">
        <v>0</v>
      </c>
    </row>
    <row r="65" spans="1:21" x14ac:dyDescent="0.35">
      <c r="A65" s="74" t="s">
        <v>40</v>
      </c>
      <c r="B65" s="74" t="s">
        <v>182</v>
      </c>
      <c r="C65" s="74" t="s">
        <v>183</v>
      </c>
      <c r="D65" s="75">
        <v>1356</v>
      </c>
      <c r="E65" s="75">
        <v>6257</v>
      </c>
      <c r="F65" s="76">
        <v>0.21671727665015184</v>
      </c>
      <c r="G65" s="77">
        <v>0.85988200589970498</v>
      </c>
      <c r="H65" s="77">
        <v>7.7433628318584066E-2</v>
      </c>
      <c r="I65" s="78">
        <v>903</v>
      </c>
      <c r="J65" s="78">
        <v>263</v>
      </c>
      <c r="K65" s="78">
        <v>52</v>
      </c>
      <c r="L65" s="78">
        <v>44</v>
      </c>
      <c r="M65" s="78">
        <v>61</v>
      </c>
      <c r="N65" s="78">
        <v>33</v>
      </c>
      <c r="O65" s="78">
        <v>1338</v>
      </c>
      <c r="P65" s="78">
        <v>0</v>
      </c>
      <c r="Q65" s="78">
        <v>14</v>
      </c>
      <c r="R65" s="78">
        <v>0</v>
      </c>
      <c r="S65" s="78">
        <v>4</v>
      </c>
      <c r="T65" s="78">
        <v>0</v>
      </c>
      <c r="U65" s="78">
        <v>0</v>
      </c>
    </row>
    <row r="66" spans="1:21" x14ac:dyDescent="0.35">
      <c r="A66" s="74" t="s">
        <v>40</v>
      </c>
      <c r="B66" s="74" t="s">
        <v>184</v>
      </c>
      <c r="C66" s="74" t="s">
        <v>185</v>
      </c>
      <c r="D66" s="75">
        <v>1239</v>
      </c>
      <c r="E66" s="75">
        <v>11922</v>
      </c>
      <c r="F66" s="76">
        <v>0.1039255158530448</v>
      </c>
      <c r="G66" s="77">
        <v>0.76190476190476186</v>
      </c>
      <c r="H66" s="77">
        <v>0.13882163034705408</v>
      </c>
      <c r="I66" s="78">
        <v>709</v>
      </c>
      <c r="J66" s="78">
        <v>235</v>
      </c>
      <c r="K66" s="78">
        <v>84</v>
      </c>
      <c r="L66" s="78">
        <v>56</v>
      </c>
      <c r="M66" s="78">
        <v>116</v>
      </c>
      <c r="N66" s="78">
        <v>39</v>
      </c>
      <c r="O66" s="78">
        <v>954</v>
      </c>
      <c r="P66" s="78">
        <v>0</v>
      </c>
      <c r="Q66" s="78">
        <v>0</v>
      </c>
      <c r="R66" s="78">
        <v>0</v>
      </c>
      <c r="S66" s="78">
        <v>285</v>
      </c>
      <c r="T66" s="78">
        <v>0</v>
      </c>
      <c r="U66" s="78">
        <v>0</v>
      </c>
    </row>
    <row r="67" spans="1:21" x14ac:dyDescent="0.35">
      <c r="A67" s="74" t="s">
        <v>40</v>
      </c>
      <c r="B67" s="74" t="s">
        <v>186</v>
      </c>
      <c r="C67" s="74" t="s">
        <v>187</v>
      </c>
      <c r="D67" s="75">
        <v>324</v>
      </c>
      <c r="E67" s="75">
        <v>4181</v>
      </c>
      <c r="F67" s="76">
        <v>7.7493422626165986E-2</v>
      </c>
      <c r="G67" s="77">
        <v>0.95679012345679015</v>
      </c>
      <c r="H67" s="77">
        <v>6.1728395061728392E-3</v>
      </c>
      <c r="I67" s="78">
        <v>254</v>
      </c>
      <c r="J67" s="78">
        <v>56</v>
      </c>
      <c r="K67" s="78">
        <v>4</v>
      </c>
      <c r="L67" s="78">
        <v>0</v>
      </c>
      <c r="M67" s="78">
        <v>2</v>
      </c>
      <c r="N67" s="78">
        <v>8</v>
      </c>
      <c r="O67" s="78">
        <v>0</v>
      </c>
      <c r="P67" s="78">
        <v>0</v>
      </c>
      <c r="Q67" s="78">
        <v>321</v>
      </c>
      <c r="R67" s="78">
        <v>0</v>
      </c>
      <c r="S67" s="78">
        <v>0</v>
      </c>
      <c r="T67" s="78">
        <v>3</v>
      </c>
      <c r="U67" s="78">
        <v>0</v>
      </c>
    </row>
    <row r="68" spans="1:21" x14ac:dyDescent="0.35">
      <c r="A68" s="74" t="s">
        <v>40</v>
      </c>
      <c r="B68" s="74" t="s">
        <v>188</v>
      </c>
      <c r="C68" s="74" t="s">
        <v>189</v>
      </c>
      <c r="D68" s="75">
        <v>895</v>
      </c>
      <c r="E68" s="75">
        <v>4640</v>
      </c>
      <c r="F68" s="76">
        <v>0.19288793103448276</v>
      </c>
      <c r="G68" s="77">
        <v>0.8</v>
      </c>
      <c r="H68" s="77">
        <v>0.11508379888268157</v>
      </c>
      <c r="I68" s="78">
        <v>560</v>
      </c>
      <c r="J68" s="78">
        <v>156</v>
      </c>
      <c r="K68" s="78">
        <v>36</v>
      </c>
      <c r="L68" s="78">
        <v>34</v>
      </c>
      <c r="M68" s="78">
        <v>69</v>
      </c>
      <c r="N68" s="78">
        <v>40</v>
      </c>
      <c r="O68" s="78">
        <v>779</v>
      </c>
      <c r="P68" s="78">
        <v>0</v>
      </c>
      <c r="Q68" s="78">
        <v>107</v>
      </c>
      <c r="R68" s="78">
        <v>0</v>
      </c>
      <c r="S68" s="78">
        <v>0</v>
      </c>
      <c r="T68" s="78">
        <v>9</v>
      </c>
      <c r="U68" s="78">
        <v>0</v>
      </c>
    </row>
    <row r="69" spans="1:21" x14ac:dyDescent="0.35">
      <c r="A69" s="74" t="s">
        <v>40</v>
      </c>
      <c r="B69" s="74" t="s">
        <v>190</v>
      </c>
      <c r="C69" s="74" t="s">
        <v>191</v>
      </c>
      <c r="D69" s="75">
        <v>2151</v>
      </c>
      <c r="E69" s="75">
        <v>13339</v>
      </c>
      <c r="F69" s="76">
        <v>0.16125646600194918</v>
      </c>
      <c r="G69" s="77">
        <v>0.85634588563458858</v>
      </c>
      <c r="H69" s="77">
        <v>8.8331008833100882E-2</v>
      </c>
      <c r="I69" s="78">
        <v>1510</v>
      </c>
      <c r="J69" s="78">
        <v>332</v>
      </c>
      <c r="K69" s="78">
        <v>88</v>
      </c>
      <c r="L69" s="78">
        <v>64</v>
      </c>
      <c r="M69" s="78">
        <v>126</v>
      </c>
      <c r="N69" s="78">
        <v>31</v>
      </c>
      <c r="O69" s="78">
        <v>1135</v>
      </c>
      <c r="P69" s="78">
        <v>0</v>
      </c>
      <c r="Q69" s="78">
        <v>2</v>
      </c>
      <c r="R69" s="78">
        <v>0</v>
      </c>
      <c r="S69" s="78">
        <v>1013</v>
      </c>
      <c r="T69" s="78">
        <v>1</v>
      </c>
      <c r="U69" s="78">
        <v>0</v>
      </c>
    </row>
    <row r="70" spans="1:21" x14ac:dyDescent="0.35">
      <c r="A70" s="74" t="s">
        <v>40</v>
      </c>
      <c r="B70" s="74" t="s">
        <v>192</v>
      </c>
      <c r="C70" s="74" t="s">
        <v>193</v>
      </c>
      <c r="D70" s="75">
        <v>2570</v>
      </c>
      <c r="E70" s="75">
        <v>26742</v>
      </c>
      <c r="F70" s="76">
        <v>9.6103507591055265E-2</v>
      </c>
      <c r="G70" s="77">
        <v>0.71634241245136188</v>
      </c>
      <c r="H70" s="77">
        <v>0.20778210116731519</v>
      </c>
      <c r="I70" s="78">
        <v>1421</v>
      </c>
      <c r="J70" s="78">
        <v>420</v>
      </c>
      <c r="K70" s="78">
        <v>137</v>
      </c>
      <c r="L70" s="78">
        <v>161</v>
      </c>
      <c r="M70" s="78">
        <v>373</v>
      </c>
      <c r="N70" s="78">
        <v>58</v>
      </c>
      <c r="O70" s="78">
        <v>2507</v>
      </c>
      <c r="P70" s="78">
        <v>27</v>
      </c>
      <c r="Q70" s="78">
        <v>0</v>
      </c>
      <c r="R70" s="78">
        <v>36</v>
      </c>
      <c r="S70" s="78">
        <v>0</v>
      </c>
      <c r="T70" s="78">
        <v>0</v>
      </c>
      <c r="U70" s="78">
        <v>0</v>
      </c>
    </row>
    <row r="71" spans="1:21" x14ac:dyDescent="0.35">
      <c r="A71" s="74" t="s">
        <v>40</v>
      </c>
      <c r="B71" s="74" t="s">
        <v>194</v>
      </c>
      <c r="C71" s="74" t="s">
        <v>195</v>
      </c>
      <c r="D71" s="75">
        <v>2404</v>
      </c>
      <c r="E71" s="75">
        <v>16504</v>
      </c>
      <c r="F71" s="76">
        <v>0.14566165777993215</v>
      </c>
      <c r="G71" s="77">
        <v>0.80033277870216302</v>
      </c>
      <c r="H71" s="77">
        <v>0.12603993344425957</v>
      </c>
      <c r="I71" s="78">
        <v>1469</v>
      </c>
      <c r="J71" s="78">
        <v>455</v>
      </c>
      <c r="K71" s="78">
        <v>123</v>
      </c>
      <c r="L71" s="78">
        <v>114</v>
      </c>
      <c r="M71" s="78">
        <v>189</v>
      </c>
      <c r="N71" s="78">
        <v>54</v>
      </c>
      <c r="O71" s="78">
        <v>2281</v>
      </c>
      <c r="P71" s="78">
        <v>31</v>
      </c>
      <c r="Q71" s="78">
        <v>57</v>
      </c>
      <c r="R71" s="78">
        <v>0</v>
      </c>
      <c r="S71" s="78">
        <v>0</v>
      </c>
      <c r="T71" s="78">
        <v>35</v>
      </c>
      <c r="U71" s="78">
        <v>0</v>
      </c>
    </row>
    <row r="72" spans="1:21" x14ac:dyDescent="0.35">
      <c r="A72" s="74" t="s">
        <v>40</v>
      </c>
      <c r="B72" s="74" t="s">
        <v>196</v>
      </c>
      <c r="C72" s="74" t="s">
        <v>197</v>
      </c>
      <c r="D72" s="75">
        <v>477</v>
      </c>
      <c r="E72" s="75">
        <v>3692</v>
      </c>
      <c r="F72" s="76">
        <v>0.1291982665222102</v>
      </c>
      <c r="G72" s="77">
        <v>0.71698113207547165</v>
      </c>
      <c r="H72" s="77">
        <v>0.16352201257861634</v>
      </c>
      <c r="I72" s="78">
        <v>226</v>
      </c>
      <c r="J72" s="78">
        <v>116</v>
      </c>
      <c r="K72" s="78">
        <v>40</v>
      </c>
      <c r="L72" s="78">
        <v>31</v>
      </c>
      <c r="M72" s="78">
        <v>47</v>
      </c>
      <c r="N72" s="78">
        <v>17</v>
      </c>
      <c r="O72" s="78">
        <v>228</v>
      </c>
      <c r="P72" s="78">
        <v>0</v>
      </c>
      <c r="Q72" s="78">
        <v>0</v>
      </c>
      <c r="R72" s="78">
        <v>0</v>
      </c>
      <c r="S72" s="78">
        <v>249</v>
      </c>
      <c r="T72" s="78">
        <v>0</v>
      </c>
      <c r="U72" s="78">
        <v>0</v>
      </c>
    </row>
    <row r="73" spans="1:21" x14ac:dyDescent="0.35">
      <c r="A73" s="74" t="s">
        <v>40</v>
      </c>
      <c r="B73" s="74" t="s">
        <v>198</v>
      </c>
      <c r="C73" s="74" t="s">
        <v>199</v>
      </c>
      <c r="D73" s="75">
        <v>1120</v>
      </c>
      <c r="E73" s="75">
        <v>11300</v>
      </c>
      <c r="F73" s="76">
        <v>9.9115044247787609E-2</v>
      </c>
      <c r="G73" s="77">
        <v>0.75982142857142854</v>
      </c>
      <c r="H73" s="77">
        <v>0.17857142857142858</v>
      </c>
      <c r="I73" s="78">
        <v>632</v>
      </c>
      <c r="J73" s="78">
        <v>219</v>
      </c>
      <c r="K73" s="78">
        <v>58</v>
      </c>
      <c r="L73" s="78">
        <v>80</v>
      </c>
      <c r="M73" s="78">
        <v>120</v>
      </c>
      <c r="N73" s="78">
        <v>11</v>
      </c>
      <c r="O73" s="78">
        <v>1120</v>
      </c>
      <c r="P73" s="78">
        <v>0</v>
      </c>
      <c r="Q73" s="78">
        <v>0</v>
      </c>
      <c r="R73" s="78">
        <v>0</v>
      </c>
      <c r="S73" s="78">
        <v>0</v>
      </c>
      <c r="T73" s="78">
        <v>0</v>
      </c>
      <c r="U73" s="78">
        <v>0</v>
      </c>
    </row>
    <row r="74" spans="1:21" x14ac:dyDescent="0.35">
      <c r="A74" s="74" t="s">
        <v>40</v>
      </c>
      <c r="B74" s="74" t="s">
        <v>200</v>
      </c>
      <c r="C74" s="74" t="s">
        <v>201</v>
      </c>
      <c r="D74" s="75">
        <v>710</v>
      </c>
      <c r="E74" s="75">
        <v>2828</v>
      </c>
      <c r="F74" s="76">
        <v>0.25106082036775107</v>
      </c>
      <c r="G74" s="77">
        <v>0.93661971830985913</v>
      </c>
      <c r="H74" s="77">
        <v>4.9295774647887321E-2</v>
      </c>
      <c r="I74" s="78">
        <v>582</v>
      </c>
      <c r="J74" s="78">
        <v>83</v>
      </c>
      <c r="K74" s="78">
        <v>5</v>
      </c>
      <c r="L74" s="78">
        <v>6</v>
      </c>
      <c r="M74" s="78">
        <v>29</v>
      </c>
      <c r="N74" s="78">
        <v>5</v>
      </c>
      <c r="O74" s="78">
        <v>0</v>
      </c>
      <c r="P74" s="78">
        <v>0</v>
      </c>
      <c r="Q74" s="78">
        <v>710</v>
      </c>
      <c r="R74" s="78">
        <v>0</v>
      </c>
      <c r="S74" s="78">
        <v>0</v>
      </c>
      <c r="T74" s="78">
        <v>0</v>
      </c>
      <c r="U74" s="78">
        <v>0</v>
      </c>
    </row>
    <row r="75" spans="1:21" x14ac:dyDescent="0.35">
      <c r="A75" s="74" t="s">
        <v>42</v>
      </c>
      <c r="B75" s="74" t="s">
        <v>202</v>
      </c>
      <c r="C75" s="74" t="s">
        <v>203</v>
      </c>
      <c r="D75" s="75">
        <v>22</v>
      </c>
      <c r="E75" s="75">
        <v>7102</v>
      </c>
      <c r="F75" s="76">
        <v>3.0977189524077726E-3</v>
      </c>
      <c r="G75" s="77">
        <v>0.90909090909090906</v>
      </c>
      <c r="H75" s="77">
        <v>4.5454545454545456E-2</v>
      </c>
      <c r="I75" s="78">
        <v>18</v>
      </c>
      <c r="J75" s="78">
        <v>2</v>
      </c>
      <c r="K75" s="78">
        <v>1</v>
      </c>
      <c r="L75" s="78">
        <v>0</v>
      </c>
      <c r="M75" s="78">
        <v>1</v>
      </c>
      <c r="N75" s="78">
        <v>0</v>
      </c>
      <c r="O75" s="78">
        <v>0</v>
      </c>
      <c r="P75" s="78">
        <v>22</v>
      </c>
      <c r="Q75" s="78">
        <v>0</v>
      </c>
      <c r="R75" s="78">
        <v>0</v>
      </c>
      <c r="S75" s="78">
        <v>0</v>
      </c>
      <c r="T75" s="78">
        <v>0</v>
      </c>
      <c r="U75" s="78">
        <v>0</v>
      </c>
    </row>
    <row r="76" spans="1:21" x14ac:dyDescent="0.35">
      <c r="A76" s="74" t="s">
        <v>42</v>
      </c>
      <c r="B76" s="74" t="s">
        <v>204</v>
      </c>
      <c r="C76" s="74" t="s">
        <v>205</v>
      </c>
      <c r="D76" s="75">
        <v>1319</v>
      </c>
      <c r="E76" s="75">
        <v>9311</v>
      </c>
      <c r="F76" s="76">
        <v>0.14166040167543764</v>
      </c>
      <c r="G76" s="77">
        <v>0.82107657316148597</v>
      </c>
      <c r="H76" s="77">
        <v>0.10841546626231995</v>
      </c>
      <c r="I76" s="78">
        <v>844</v>
      </c>
      <c r="J76" s="78">
        <v>239</v>
      </c>
      <c r="K76" s="78">
        <v>68</v>
      </c>
      <c r="L76" s="78">
        <v>54</v>
      </c>
      <c r="M76" s="78">
        <v>89</v>
      </c>
      <c r="N76" s="78">
        <v>25</v>
      </c>
      <c r="O76" s="78">
        <v>879</v>
      </c>
      <c r="P76" s="78">
        <v>0</v>
      </c>
      <c r="Q76" s="78">
        <v>0</v>
      </c>
      <c r="R76" s="78">
        <v>55</v>
      </c>
      <c r="S76" s="78">
        <v>377</v>
      </c>
      <c r="T76" s="78">
        <v>8</v>
      </c>
      <c r="U76" s="78">
        <v>0</v>
      </c>
    </row>
    <row r="77" spans="1:21" x14ac:dyDescent="0.35">
      <c r="A77" s="74" t="s">
        <v>42</v>
      </c>
      <c r="B77" s="74" t="s">
        <v>206</v>
      </c>
      <c r="C77" s="74" t="s">
        <v>207</v>
      </c>
      <c r="D77" s="75">
        <v>1511</v>
      </c>
      <c r="E77" s="75">
        <v>6707</v>
      </c>
      <c r="F77" s="76">
        <v>0.22528701356791411</v>
      </c>
      <c r="G77" s="77">
        <v>0.79814692256783581</v>
      </c>
      <c r="H77" s="77">
        <v>0.12309728656518862</v>
      </c>
      <c r="I77" s="78">
        <v>915</v>
      </c>
      <c r="J77" s="78">
        <v>291</v>
      </c>
      <c r="K77" s="78">
        <v>106</v>
      </c>
      <c r="L77" s="78">
        <v>65</v>
      </c>
      <c r="M77" s="78">
        <v>121</v>
      </c>
      <c r="N77" s="78">
        <v>13</v>
      </c>
      <c r="O77" s="78">
        <v>873</v>
      </c>
      <c r="P77" s="78">
        <v>0</v>
      </c>
      <c r="Q77" s="78">
        <v>0</v>
      </c>
      <c r="R77" s="78">
        <v>0</v>
      </c>
      <c r="S77" s="78">
        <v>540</v>
      </c>
      <c r="T77" s="78">
        <v>98</v>
      </c>
      <c r="U77" s="78">
        <v>0</v>
      </c>
    </row>
    <row r="78" spans="1:21" x14ac:dyDescent="0.35">
      <c r="A78" s="74" t="s">
        <v>42</v>
      </c>
      <c r="B78" s="74" t="s">
        <v>208</v>
      </c>
      <c r="C78" s="74" t="s">
        <v>209</v>
      </c>
      <c r="D78" s="75">
        <v>1137</v>
      </c>
      <c r="E78" s="75">
        <v>16527</v>
      </c>
      <c r="F78" s="76">
        <v>6.8796514793973501E-2</v>
      </c>
      <c r="G78" s="77">
        <v>0.94019349164467902</v>
      </c>
      <c r="H78" s="77">
        <v>3.1662269129287601E-2</v>
      </c>
      <c r="I78" s="78">
        <v>956</v>
      </c>
      <c r="J78" s="78">
        <v>113</v>
      </c>
      <c r="K78" s="78">
        <v>25</v>
      </c>
      <c r="L78" s="78">
        <v>9</v>
      </c>
      <c r="M78" s="78">
        <v>27</v>
      </c>
      <c r="N78" s="78">
        <v>7</v>
      </c>
      <c r="O78" s="78">
        <v>0</v>
      </c>
      <c r="P78" s="78">
        <v>13</v>
      </c>
      <c r="Q78" s="78">
        <v>1122</v>
      </c>
      <c r="R78" s="78">
        <v>0</v>
      </c>
      <c r="S78" s="78">
        <v>0</v>
      </c>
      <c r="T78" s="78">
        <v>2</v>
      </c>
      <c r="U78" s="78">
        <v>0</v>
      </c>
    </row>
    <row r="79" spans="1:21" x14ac:dyDescent="0.35">
      <c r="A79" s="74" t="s">
        <v>44</v>
      </c>
      <c r="B79" s="74" t="s">
        <v>210</v>
      </c>
      <c r="C79" s="74" t="s">
        <v>211</v>
      </c>
      <c r="D79" s="75">
        <v>1471</v>
      </c>
      <c r="E79" s="75">
        <v>7516</v>
      </c>
      <c r="F79" s="76">
        <v>0.19571580627993615</v>
      </c>
      <c r="G79" s="77">
        <v>0.79945615227736233</v>
      </c>
      <c r="H79" s="77">
        <v>0.10401087695445276</v>
      </c>
      <c r="I79" s="78">
        <v>842</v>
      </c>
      <c r="J79" s="78">
        <v>334</v>
      </c>
      <c r="K79" s="78">
        <v>114</v>
      </c>
      <c r="L79" s="78">
        <v>56</v>
      </c>
      <c r="M79" s="78">
        <v>97</v>
      </c>
      <c r="N79" s="78">
        <v>28</v>
      </c>
      <c r="O79" s="78">
        <v>1471</v>
      </c>
      <c r="P79" s="78">
        <v>0</v>
      </c>
      <c r="Q79" s="78">
        <v>0</v>
      </c>
      <c r="R79" s="78">
        <v>0</v>
      </c>
      <c r="S79" s="78">
        <v>0</v>
      </c>
      <c r="T79" s="78">
        <v>0</v>
      </c>
      <c r="U79" s="78">
        <v>0</v>
      </c>
    </row>
    <row r="80" spans="1:21" x14ac:dyDescent="0.35">
      <c r="A80" s="74" t="s">
        <v>44</v>
      </c>
      <c r="B80" s="74" t="s">
        <v>212</v>
      </c>
      <c r="C80" s="74" t="s">
        <v>213</v>
      </c>
      <c r="D80" s="75">
        <v>669</v>
      </c>
      <c r="E80" s="75">
        <v>4122</v>
      </c>
      <c r="F80" s="76">
        <v>0.16229985443959244</v>
      </c>
      <c r="G80" s="77">
        <v>0.81614349775784756</v>
      </c>
      <c r="H80" s="77">
        <v>0.11808669656203288</v>
      </c>
      <c r="I80" s="78">
        <v>399</v>
      </c>
      <c r="J80" s="78">
        <v>147</v>
      </c>
      <c r="K80" s="78">
        <v>35</v>
      </c>
      <c r="L80" s="78">
        <v>33</v>
      </c>
      <c r="M80" s="78">
        <v>46</v>
      </c>
      <c r="N80" s="78">
        <v>9</v>
      </c>
      <c r="O80" s="78">
        <v>516</v>
      </c>
      <c r="P80" s="78">
        <v>0</v>
      </c>
      <c r="Q80" s="78">
        <v>0</v>
      </c>
      <c r="R80" s="78">
        <v>0</v>
      </c>
      <c r="S80" s="78">
        <v>153</v>
      </c>
      <c r="T80" s="78">
        <v>0</v>
      </c>
      <c r="U80" s="78">
        <v>0</v>
      </c>
    </row>
    <row r="81" spans="1:21" x14ac:dyDescent="0.35">
      <c r="A81" s="74" t="s">
        <v>44</v>
      </c>
      <c r="B81" s="74" t="s">
        <v>214</v>
      </c>
      <c r="C81" s="74" t="s">
        <v>215</v>
      </c>
      <c r="D81" s="75">
        <v>1552</v>
      </c>
      <c r="E81" s="75">
        <v>6108</v>
      </c>
      <c r="F81" s="76">
        <v>0.25409299279633268</v>
      </c>
      <c r="G81" s="77">
        <v>0.90335051546391754</v>
      </c>
      <c r="H81" s="77">
        <v>6.5721649484536085E-2</v>
      </c>
      <c r="I81" s="78">
        <v>1196</v>
      </c>
      <c r="J81" s="78">
        <v>206</v>
      </c>
      <c r="K81" s="78">
        <v>34</v>
      </c>
      <c r="L81" s="78">
        <v>29</v>
      </c>
      <c r="M81" s="78">
        <v>73</v>
      </c>
      <c r="N81" s="78">
        <v>14</v>
      </c>
      <c r="O81" s="78">
        <v>1069</v>
      </c>
      <c r="P81" s="78">
        <v>0</v>
      </c>
      <c r="Q81" s="78">
        <v>14</v>
      </c>
      <c r="R81" s="78">
        <v>308</v>
      </c>
      <c r="S81" s="78">
        <v>123</v>
      </c>
      <c r="T81" s="78">
        <v>38</v>
      </c>
      <c r="U81" s="78">
        <v>0</v>
      </c>
    </row>
    <row r="82" spans="1:21" x14ac:dyDescent="0.35">
      <c r="A82" s="74" t="s">
        <v>44</v>
      </c>
      <c r="B82" s="74" t="s">
        <v>216</v>
      </c>
      <c r="C82" s="74" t="s">
        <v>217</v>
      </c>
      <c r="D82" s="75">
        <v>624</v>
      </c>
      <c r="E82" s="75">
        <v>15056</v>
      </c>
      <c r="F82" s="76">
        <v>4.1445270988310308E-2</v>
      </c>
      <c r="G82" s="77">
        <v>0.83814102564102566</v>
      </c>
      <c r="H82" s="77">
        <v>7.5320512820512817E-2</v>
      </c>
      <c r="I82" s="78">
        <v>303</v>
      </c>
      <c r="J82" s="78">
        <v>220</v>
      </c>
      <c r="K82" s="78">
        <v>43</v>
      </c>
      <c r="L82" s="78">
        <v>21</v>
      </c>
      <c r="M82" s="78">
        <v>26</v>
      </c>
      <c r="N82" s="78">
        <v>11</v>
      </c>
      <c r="O82" s="78">
        <v>0</v>
      </c>
      <c r="P82" s="78">
        <v>17</v>
      </c>
      <c r="Q82" s="78">
        <v>607</v>
      </c>
      <c r="R82" s="78">
        <v>0</v>
      </c>
      <c r="S82" s="78">
        <v>0</v>
      </c>
      <c r="T82" s="78">
        <v>0</v>
      </c>
      <c r="U82" s="78">
        <v>0</v>
      </c>
    </row>
    <row r="83" spans="1:21" x14ac:dyDescent="0.35">
      <c r="A83" s="74" t="s">
        <v>44</v>
      </c>
      <c r="B83" s="74" t="s">
        <v>218</v>
      </c>
      <c r="C83" s="74" t="s">
        <v>219</v>
      </c>
      <c r="D83" s="75">
        <v>1958</v>
      </c>
      <c r="E83" s="75">
        <v>14463</v>
      </c>
      <c r="F83" s="76">
        <v>0.13537993500656847</v>
      </c>
      <c r="G83" s="77">
        <v>0.86670071501532175</v>
      </c>
      <c r="H83" s="77">
        <v>8.784473953013279E-2</v>
      </c>
      <c r="I83" s="78">
        <v>1400</v>
      </c>
      <c r="J83" s="78">
        <v>297</v>
      </c>
      <c r="K83" s="78">
        <v>69</v>
      </c>
      <c r="L83" s="78">
        <v>67</v>
      </c>
      <c r="M83" s="78">
        <v>105</v>
      </c>
      <c r="N83" s="78">
        <v>20</v>
      </c>
      <c r="O83" s="78">
        <v>1428</v>
      </c>
      <c r="P83" s="78">
        <v>0</v>
      </c>
      <c r="Q83" s="78">
        <v>2</v>
      </c>
      <c r="R83" s="78">
        <v>0</v>
      </c>
      <c r="S83" s="78">
        <v>528</v>
      </c>
      <c r="T83" s="78">
        <v>0</v>
      </c>
      <c r="U83" s="78">
        <v>0</v>
      </c>
    </row>
    <row r="84" spans="1:21" x14ac:dyDescent="0.35">
      <c r="A84" s="74" t="s">
        <v>44</v>
      </c>
      <c r="B84" s="74" t="s">
        <v>220</v>
      </c>
      <c r="C84" s="74" t="s">
        <v>221</v>
      </c>
      <c r="D84" s="75">
        <v>445</v>
      </c>
      <c r="E84" s="75">
        <v>6233</v>
      </c>
      <c r="F84" s="76">
        <v>7.1394192202791598E-2</v>
      </c>
      <c r="G84" s="77">
        <v>0.89213483146067418</v>
      </c>
      <c r="H84" s="77">
        <v>5.8426966292134834E-2</v>
      </c>
      <c r="I84" s="78">
        <v>329</v>
      </c>
      <c r="J84" s="78">
        <v>68</v>
      </c>
      <c r="K84" s="78">
        <v>13</v>
      </c>
      <c r="L84" s="78">
        <v>8</v>
      </c>
      <c r="M84" s="78">
        <v>18</v>
      </c>
      <c r="N84" s="78">
        <v>9</v>
      </c>
      <c r="O84" s="78">
        <v>0</v>
      </c>
      <c r="P84" s="78">
        <v>0</v>
      </c>
      <c r="Q84" s="78">
        <v>445</v>
      </c>
      <c r="R84" s="78">
        <v>0</v>
      </c>
      <c r="S84" s="78">
        <v>0</v>
      </c>
      <c r="T84" s="78">
        <v>0</v>
      </c>
      <c r="U84" s="78">
        <v>0</v>
      </c>
    </row>
    <row r="85" spans="1:21" x14ac:dyDescent="0.35">
      <c r="A85" s="74" t="s">
        <v>44</v>
      </c>
      <c r="B85" s="74" t="s">
        <v>222</v>
      </c>
      <c r="C85" s="74" t="s">
        <v>223</v>
      </c>
      <c r="D85" s="75">
        <v>1232</v>
      </c>
      <c r="E85" s="75">
        <v>6865</v>
      </c>
      <c r="F85" s="76">
        <v>0.17946103423160961</v>
      </c>
      <c r="G85" s="77">
        <v>0.98944805194805197</v>
      </c>
      <c r="H85" s="77">
        <v>1.6233766233766235E-3</v>
      </c>
      <c r="I85" s="78">
        <v>828</v>
      </c>
      <c r="J85" s="78">
        <v>391</v>
      </c>
      <c r="K85" s="78">
        <v>11</v>
      </c>
      <c r="L85" s="78">
        <v>1</v>
      </c>
      <c r="M85" s="78">
        <v>1</v>
      </c>
      <c r="N85" s="78">
        <v>0</v>
      </c>
      <c r="O85" s="78">
        <v>0</v>
      </c>
      <c r="P85" s="78">
        <v>1220</v>
      </c>
      <c r="Q85" s="78">
        <v>11</v>
      </c>
      <c r="R85" s="78">
        <v>0</v>
      </c>
      <c r="S85" s="78">
        <v>0</v>
      </c>
      <c r="T85" s="78">
        <v>0</v>
      </c>
      <c r="U85" s="78">
        <v>1</v>
      </c>
    </row>
    <row r="86" spans="1:21" x14ac:dyDescent="0.35">
      <c r="A86" s="74" t="s">
        <v>44</v>
      </c>
      <c r="B86" s="74" t="s">
        <v>224</v>
      </c>
      <c r="C86" s="74" t="s">
        <v>225</v>
      </c>
      <c r="D86" s="75">
        <v>1121</v>
      </c>
      <c r="E86" s="75">
        <v>6200</v>
      </c>
      <c r="F86" s="76">
        <v>0.18080645161290324</v>
      </c>
      <c r="G86" s="77">
        <v>0.83586083853702053</v>
      </c>
      <c r="H86" s="77">
        <v>9.2774308652988399E-2</v>
      </c>
      <c r="I86" s="78">
        <v>737</v>
      </c>
      <c r="J86" s="78">
        <v>200</v>
      </c>
      <c r="K86" s="78">
        <v>61</v>
      </c>
      <c r="L86" s="78">
        <v>46</v>
      </c>
      <c r="M86" s="78">
        <v>58</v>
      </c>
      <c r="N86" s="78">
        <v>19</v>
      </c>
      <c r="O86" s="78">
        <v>916</v>
      </c>
      <c r="P86" s="78">
        <v>0</v>
      </c>
      <c r="Q86" s="78">
        <v>0</v>
      </c>
      <c r="R86" s="78">
        <v>0</v>
      </c>
      <c r="S86" s="78">
        <v>205</v>
      </c>
      <c r="T86" s="78">
        <v>0</v>
      </c>
      <c r="U86" s="78">
        <v>0</v>
      </c>
    </row>
    <row r="87" spans="1:21" x14ac:dyDescent="0.35">
      <c r="A87" s="74" t="s">
        <v>44</v>
      </c>
      <c r="B87" s="74" t="s">
        <v>226</v>
      </c>
      <c r="C87" s="74" t="s">
        <v>227</v>
      </c>
      <c r="D87" s="75">
        <v>498</v>
      </c>
      <c r="E87" s="75">
        <v>7613</v>
      </c>
      <c r="F87" s="76">
        <v>6.5414422698016547E-2</v>
      </c>
      <c r="G87" s="77">
        <v>0.89959839357429716</v>
      </c>
      <c r="H87" s="77">
        <v>4.6184738955823292E-2</v>
      </c>
      <c r="I87" s="78">
        <v>326</v>
      </c>
      <c r="J87" s="78">
        <v>122</v>
      </c>
      <c r="K87" s="78">
        <v>21</v>
      </c>
      <c r="L87" s="78">
        <v>7</v>
      </c>
      <c r="M87" s="78">
        <v>16</v>
      </c>
      <c r="N87" s="78">
        <v>6</v>
      </c>
      <c r="O87" s="78">
        <v>0</v>
      </c>
      <c r="P87" s="78">
        <v>0</v>
      </c>
      <c r="Q87" s="78">
        <v>496</v>
      </c>
      <c r="R87" s="78">
        <v>0</v>
      </c>
      <c r="S87" s="78">
        <v>0</v>
      </c>
      <c r="T87" s="78">
        <v>2</v>
      </c>
      <c r="U87" s="78">
        <v>0</v>
      </c>
    </row>
    <row r="88" spans="1:21" x14ac:dyDescent="0.35">
      <c r="A88" s="74" t="s">
        <v>44</v>
      </c>
      <c r="B88" s="74" t="s">
        <v>228</v>
      </c>
      <c r="C88" s="74" t="s">
        <v>229</v>
      </c>
      <c r="D88" s="75">
        <v>216</v>
      </c>
      <c r="E88" s="75">
        <v>8733</v>
      </c>
      <c r="F88" s="76">
        <v>2.4733768464445208E-2</v>
      </c>
      <c r="G88" s="77">
        <v>0.78240740740740744</v>
      </c>
      <c r="H88" s="77">
        <v>0.15740740740740741</v>
      </c>
      <c r="I88" s="78">
        <v>150</v>
      </c>
      <c r="J88" s="78">
        <v>19</v>
      </c>
      <c r="K88" s="78">
        <v>9</v>
      </c>
      <c r="L88" s="78">
        <v>13</v>
      </c>
      <c r="M88" s="78">
        <v>21</v>
      </c>
      <c r="N88" s="78">
        <v>4</v>
      </c>
      <c r="O88" s="78">
        <v>0</v>
      </c>
      <c r="P88" s="78">
        <v>162</v>
      </c>
      <c r="Q88" s="78">
        <v>44</v>
      </c>
      <c r="R88" s="78">
        <v>0</v>
      </c>
      <c r="S88" s="78">
        <v>10</v>
      </c>
      <c r="T88" s="78">
        <v>0</v>
      </c>
      <c r="U88" s="78">
        <v>0</v>
      </c>
    </row>
    <row r="89" spans="1:21" x14ac:dyDescent="0.35">
      <c r="A89" s="74" t="s">
        <v>44</v>
      </c>
      <c r="B89" s="74" t="s">
        <v>230</v>
      </c>
      <c r="C89" s="74" t="s">
        <v>231</v>
      </c>
      <c r="D89" s="75">
        <v>811</v>
      </c>
      <c r="E89" s="75">
        <v>5551</v>
      </c>
      <c r="F89" s="76">
        <v>0.14609980183750676</v>
      </c>
      <c r="G89" s="77">
        <v>0.82614056720098639</v>
      </c>
      <c r="H89" s="77">
        <v>0.11097410604192355</v>
      </c>
      <c r="I89" s="78">
        <v>513</v>
      </c>
      <c r="J89" s="78">
        <v>157</v>
      </c>
      <c r="K89" s="78">
        <v>40</v>
      </c>
      <c r="L89" s="78">
        <v>35</v>
      </c>
      <c r="M89" s="78">
        <v>55</v>
      </c>
      <c r="N89" s="78">
        <v>11</v>
      </c>
      <c r="O89" s="78">
        <v>542</v>
      </c>
      <c r="P89" s="78">
        <v>0</v>
      </c>
      <c r="Q89" s="78">
        <v>10</v>
      </c>
      <c r="R89" s="78">
        <v>0</v>
      </c>
      <c r="S89" s="78">
        <v>258</v>
      </c>
      <c r="T89" s="78">
        <v>1</v>
      </c>
      <c r="U89" s="78">
        <v>0</v>
      </c>
    </row>
    <row r="90" spans="1:21" x14ac:dyDescent="0.35">
      <c r="A90" s="74" t="s">
        <v>44</v>
      </c>
      <c r="B90" s="74" t="s">
        <v>232</v>
      </c>
      <c r="C90" s="74" t="s">
        <v>233</v>
      </c>
      <c r="D90" s="75">
        <v>704</v>
      </c>
      <c r="E90" s="75">
        <v>5625</v>
      </c>
      <c r="F90" s="76">
        <v>0.12515555555555555</v>
      </c>
      <c r="G90" s="77">
        <v>0.95028409090909094</v>
      </c>
      <c r="H90" s="77">
        <v>2.130681818181818E-2</v>
      </c>
      <c r="I90" s="78">
        <v>568</v>
      </c>
      <c r="J90" s="78">
        <v>101</v>
      </c>
      <c r="K90" s="78">
        <v>18</v>
      </c>
      <c r="L90" s="78">
        <v>9</v>
      </c>
      <c r="M90" s="78">
        <v>6</v>
      </c>
      <c r="N90" s="78">
        <v>2</v>
      </c>
      <c r="O90" s="78">
        <v>0</v>
      </c>
      <c r="P90" s="78">
        <v>0</v>
      </c>
      <c r="Q90" s="78">
        <v>0</v>
      </c>
      <c r="R90" s="78">
        <v>0</v>
      </c>
      <c r="S90" s="78">
        <v>0</v>
      </c>
      <c r="T90" s="78">
        <v>0</v>
      </c>
      <c r="U90" s="78">
        <v>704</v>
      </c>
    </row>
    <row r="91" spans="1:21" x14ac:dyDescent="0.35">
      <c r="A91" s="74" t="s">
        <v>44</v>
      </c>
      <c r="B91" s="74" t="s">
        <v>234</v>
      </c>
      <c r="C91" s="74" t="s">
        <v>235</v>
      </c>
      <c r="D91" s="75">
        <v>386</v>
      </c>
      <c r="E91" s="75">
        <v>3934</v>
      </c>
      <c r="F91" s="76">
        <v>9.8118962887646155E-2</v>
      </c>
      <c r="G91" s="77">
        <v>0.90932642487046633</v>
      </c>
      <c r="H91" s="77">
        <v>3.367875647668394E-2</v>
      </c>
      <c r="I91" s="78">
        <v>233</v>
      </c>
      <c r="J91" s="78">
        <v>118</v>
      </c>
      <c r="K91" s="78">
        <v>13</v>
      </c>
      <c r="L91" s="78">
        <v>7</v>
      </c>
      <c r="M91" s="78">
        <v>6</v>
      </c>
      <c r="N91" s="78">
        <v>9</v>
      </c>
      <c r="O91" s="78">
        <v>0</v>
      </c>
      <c r="P91" s="78">
        <v>0</v>
      </c>
      <c r="Q91" s="78">
        <v>383</v>
      </c>
      <c r="R91" s="78">
        <v>0</v>
      </c>
      <c r="S91" s="78">
        <v>0</v>
      </c>
      <c r="T91" s="78">
        <v>3</v>
      </c>
      <c r="U91" s="78">
        <v>0</v>
      </c>
    </row>
    <row r="92" spans="1:21" x14ac:dyDescent="0.35">
      <c r="A92" s="74" t="s">
        <v>44</v>
      </c>
      <c r="B92" s="74" t="s">
        <v>236</v>
      </c>
      <c r="C92" s="74" t="s">
        <v>237</v>
      </c>
      <c r="D92" s="75">
        <v>414</v>
      </c>
      <c r="E92" s="75">
        <v>10948</v>
      </c>
      <c r="F92" s="76">
        <v>3.7815126050420166E-2</v>
      </c>
      <c r="G92" s="77">
        <v>0.88888888888888884</v>
      </c>
      <c r="H92" s="77">
        <v>3.864734299516908E-2</v>
      </c>
      <c r="I92" s="78">
        <v>243</v>
      </c>
      <c r="J92" s="78">
        <v>125</v>
      </c>
      <c r="K92" s="78">
        <v>24</v>
      </c>
      <c r="L92" s="78">
        <v>6</v>
      </c>
      <c r="M92" s="78">
        <v>10</v>
      </c>
      <c r="N92" s="78">
        <v>6</v>
      </c>
      <c r="O92" s="78">
        <v>0</v>
      </c>
      <c r="P92" s="78">
        <v>1</v>
      </c>
      <c r="Q92" s="78">
        <v>399</v>
      </c>
      <c r="R92" s="78">
        <v>0</v>
      </c>
      <c r="S92" s="78">
        <v>0</v>
      </c>
      <c r="T92" s="78">
        <v>14</v>
      </c>
      <c r="U92" s="78">
        <v>0</v>
      </c>
    </row>
    <row r="93" spans="1:21" x14ac:dyDescent="0.35">
      <c r="A93" s="74" t="s">
        <v>44</v>
      </c>
      <c r="B93" s="74" t="s">
        <v>238</v>
      </c>
      <c r="C93" s="74" t="s">
        <v>239</v>
      </c>
      <c r="D93" s="75">
        <v>888</v>
      </c>
      <c r="E93" s="75">
        <v>8980</v>
      </c>
      <c r="F93" s="76">
        <v>9.8886414253897548E-2</v>
      </c>
      <c r="G93" s="77">
        <v>0.87049549549549554</v>
      </c>
      <c r="H93" s="77">
        <v>6.3063063063063057E-2</v>
      </c>
      <c r="I93" s="78">
        <v>580</v>
      </c>
      <c r="J93" s="78">
        <v>193</v>
      </c>
      <c r="K93" s="78">
        <v>50</v>
      </c>
      <c r="L93" s="78">
        <v>23</v>
      </c>
      <c r="M93" s="78">
        <v>33</v>
      </c>
      <c r="N93" s="78">
        <v>9</v>
      </c>
      <c r="O93" s="78">
        <v>590</v>
      </c>
      <c r="P93" s="78">
        <v>20</v>
      </c>
      <c r="Q93" s="78">
        <v>278</v>
      </c>
      <c r="R93" s="78">
        <v>0</v>
      </c>
      <c r="S93" s="78">
        <v>0</v>
      </c>
      <c r="T93" s="78">
        <v>0</v>
      </c>
      <c r="U93" s="78">
        <v>0</v>
      </c>
    </row>
    <row r="94" spans="1:21" x14ac:dyDescent="0.35">
      <c r="A94" s="74" t="s">
        <v>34</v>
      </c>
      <c r="B94" s="74" t="s">
        <v>240</v>
      </c>
      <c r="C94" s="74" t="s">
        <v>241</v>
      </c>
      <c r="D94" s="75">
        <v>1831</v>
      </c>
      <c r="E94" s="75">
        <v>9440</v>
      </c>
      <c r="F94" s="76">
        <v>0.19396186440677965</v>
      </c>
      <c r="G94" s="77">
        <v>0.90824685963954122</v>
      </c>
      <c r="H94" s="77">
        <v>5.5161114145275802E-2</v>
      </c>
      <c r="I94" s="78">
        <v>1492</v>
      </c>
      <c r="J94" s="78">
        <v>171</v>
      </c>
      <c r="K94" s="78">
        <v>48</v>
      </c>
      <c r="L94" s="78">
        <v>40</v>
      </c>
      <c r="M94" s="78">
        <v>61</v>
      </c>
      <c r="N94" s="78">
        <v>19</v>
      </c>
      <c r="O94" s="78">
        <v>1039</v>
      </c>
      <c r="P94" s="78">
        <v>47</v>
      </c>
      <c r="Q94" s="78">
        <v>521</v>
      </c>
      <c r="R94" s="78">
        <v>0</v>
      </c>
      <c r="S94" s="78">
        <v>224</v>
      </c>
      <c r="T94" s="78">
        <v>0</v>
      </c>
      <c r="U94" s="78">
        <v>0</v>
      </c>
    </row>
    <row r="95" spans="1:21" x14ac:dyDescent="0.35">
      <c r="A95" s="74" t="s">
        <v>34</v>
      </c>
      <c r="B95" s="74" t="s">
        <v>242</v>
      </c>
      <c r="C95" s="74" t="s">
        <v>243</v>
      </c>
      <c r="D95" s="75">
        <v>3007</v>
      </c>
      <c r="E95" s="75">
        <v>25632</v>
      </c>
      <c r="F95" s="76">
        <v>0.11731429463171036</v>
      </c>
      <c r="G95" s="77">
        <v>0.89158629863651484</v>
      </c>
      <c r="H95" s="77">
        <v>6.5846358496840701E-2</v>
      </c>
      <c r="I95" s="78">
        <v>2047</v>
      </c>
      <c r="J95" s="78">
        <v>634</v>
      </c>
      <c r="K95" s="78">
        <v>91</v>
      </c>
      <c r="L95" s="78">
        <v>64</v>
      </c>
      <c r="M95" s="78">
        <v>134</v>
      </c>
      <c r="N95" s="78">
        <v>37</v>
      </c>
      <c r="O95" s="78">
        <v>1111</v>
      </c>
      <c r="P95" s="78">
        <v>392</v>
      </c>
      <c r="Q95" s="78">
        <v>1389</v>
      </c>
      <c r="R95" s="78">
        <v>0</v>
      </c>
      <c r="S95" s="78">
        <v>115</v>
      </c>
      <c r="T95" s="78">
        <v>0</v>
      </c>
      <c r="U95" s="78">
        <v>0</v>
      </c>
    </row>
    <row r="96" spans="1:21" x14ac:dyDescent="0.35">
      <c r="A96" s="74" t="s">
        <v>34</v>
      </c>
      <c r="B96" s="74" t="s">
        <v>244</v>
      </c>
      <c r="C96" s="74" t="s">
        <v>245</v>
      </c>
      <c r="D96" s="75">
        <v>2770</v>
      </c>
      <c r="E96" s="75">
        <v>22591</v>
      </c>
      <c r="F96" s="76">
        <v>0.12261520074365898</v>
      </c>
      <c r="G96" s="77">
        <v>0.83321299638989166</v>
      </c>
      <c r="H96" s="77">
        <v>0.10794223826714801</v>
      </c>
      <c r="I96" s="78">
        <v>1819</v>
      </c>
      <c r="J96" s="78">
        <v>489</v>
      </c>
      <c r="K96" s="78">
        <v>124</v>
      </c>
      <c r="L96" s="78">
        <v>110</v>
      </c>
      <c r="M96" s="78">
        <v>189</v>
      </c>
      <c r="N96" s="78">
        <v>39</v>
      </c>
      <c r="O96" s="78">
        <v>1901</v>
      </c>
      <c r="P96" s="78">
        <v>0</v>
      </c>
      <c r="Q96" s="78">
        <v>0</v>
      </c>
      <c r="R96" s="78">
        <v>0</v>
      </c>
      <c r="S96" s="78">
        <v>869</v>
      </c>
      <c r="T96" s="78">
        <v>0</v>
      </c>
      <c r="U96" s="78">
        <v>0</v>
      </c>
    </row>
    <row r="97" spans="1:21" x14ac:dyDescent="0.35">
      <c r="A97" s="74" t="s">
        <v>34</v>
      </c>
      <c r="B97" s="74" t="s">
        <v>246</v>
      </c>
      <c r="C97" s="74" t="s">
        <v>247</v>
      </c>
      <c r="D97" s="75">
        <v>845</v>
      </c>
      <c r="E97" s="75">
        <v>4661</v>
      </c>
      <c r="F97" s="76">
        <v>0.18129156833297574</v>
      </c>
      <c r="G97" s="77">
        <v>0.87218934911242607</v>
      </c>
      <c r="H97" s="77">
        <v>6.6272189349112429E-2</v>
      </c>
      <c r="I97" s="78">
        <v>629</v>
      </c>
      <c r="J97" s="78">
        <v>108</v>
      </c>
      <c r="K97" s="78">
        <v>43</v>
      </c>
      <c r="L97" s="78">
        <v>16</v>
      </c>
      <c r="M97" s="78">
        <v>40</v>
      </c>
      <c r="N97" s="78">
        <v>9</v>
      </c>
      <c r="O97" s="78">
        <v>663</v>
      </c>
      <c r="P97" s="78">
        <v>0</v>
      </c>
      <c r="Q97" s="78">
        <v>0</v>
      </c>
      <c r="R97" s="78">
        <v>0</v>
      </c>
      <c r="S97" s="78">
        <v>182</v>
      </c>
      <c r="T97" s="78">
        <v>0</v>
      </c>
      <c r="U97" s="78">
        <v>0</v>
      </c>
    </row>
    <row r="98" spans="1:21" x14ac:dyDescent="0.35">
      <c r="A98" s="74" t="s">
        <v>34</v>
      </c>
      <c r="B98" s="74" t="s">
        <v>248</v>
      </c>
      <c r="C98" s="74" t="s">
        <v>249</v>
      </c>
      <c r="D98" s="75">
        <v>1082</v>
      </c>
      <c r="E98" s="75">
        <v>6690</v>
      </c>
      <c r="F98" s="76">
        <v>0.16173393124065769</v>
      </c>
      <c r="G98" s="77">
        <v>0.87985212569316085</v>
      </c>
      <c r="H98" s="77">
        <v>6.9316081330868765E-2</v>
      </c>
      <c r="I98" s="78">
        <v>775</v>
      </c>
      <c r="J98" s="78">
        <v>177</v>
      </c>
      <c r="K98" s="78">
        <v>44</v>
      </c>
      <c r="L98" s="78">
        <v>24</v>
      </c>
      <c r="M98" s="78">
        <v>51</v>
      </c>
      <c r="N98" s="78">
        <v>11</v>
      </c>
      <c r="O98" s="78">
        <v>615</v>
      </c>
      <c r="P98" s="78">
        <v>0</v>
      </c>
      <c r="Q98" s="78">
        <v>52</v>
      </c>
      <c r="R98" s="78">
        <v>0</v>
      </c>
      <c r="S98" s="78">
        <v>415</v>
      </c>
      <c r="T98" s="78">
        <v>0</v>
      </c>
      <c r="U98" s="78">
        <v>0</v>
      </c>
    </row>
    <row r="99" spans="1:21" x14ac:dyDescent="0.35">
      <c r="A99" s="74" t="s">
        <v>34</v>
      </c>
      <c r="B99" s="74" t="s">
        <v>250</v>
      </c>
      <c r="C99" s="74" t="s">
        <v>251</v>
      </c>
      <c r="D99" s="75">
        <v>1289</v>
      </c>
      <c r="E99" s="75">
        <v>9281</v>
      </c>
      <c r="F99" s="76">
        <v>0.13888589591638831</v>
      </c>
      <c r="G99" s="77">
        <v>0.74786656322730805</v>
      </c>
      <c r="H99" s="77">
        <v>0.1551590380139643</v>
      </c>
      <c r="I99" s="78">
        <v>631</v>
      </c>
      <c r="J99" s="78">
        <v>333</v>
      </c>
      <c r="K99" s="78">
        <v>112</v>
      </c>
      <c r="L99" s="78">
        <v>89</v>
      </c>
      <c r="M99" s="78">
        <v>111</v>
      </c>
      <c r="N99" s="78">
        <v>13</v>
      </c>
      <c r="O99" s="78">
        <v>621</v>
      </c>
      <c r="P99" s="78">
        <v>156</v>
      </c>
      <c r="Q99" s="78">
        <v>508</v>
      </c>
      <c r="R99" s="78">
        <v>0</v>
      </c>
      <c r="S99" s="78">
        <v>0</v>
      </c>
      <c r="T99" s="78">
        <v>4</v>
      </c>
      <c r="U99" s="78">
        <v>0</v>
      </c>
    </row>
    <row r="100" spans="1:21" x14ac:dyDescent="0.35">
      <c r="A100" s="74" t="s">
        <v>34</v>
      </c>
      <c r="B100" s="74" t="s">
        <v>252</v>
      </c>
      <c r="C100" s="74" t="s">
        <v>253</v>
      </c>
      <c r="D100" s="75">
        <v>997</v>
      </c>
      <c r="E100" s="75">
        <v>5380</v>
      </c>
      <c r="F100" s="76">
        <v>0.18531598513011152</v>
      </c>
      <c r="G100" s="77">
        <v>0.90471414242728188</v>
      </c>
      <c r="H100" s="77">
        <v>6.0180541624874621E-2</v>
      </c>
      <c r="I100" s="78">
        <v>776</v>
      </c>
      <c r="J100" s="78">
        <v>126</v>
      </c>
      <c r="K100" s="78">
        <v>28</v>
      </c>
      <c r="L100" s="78">
        <v>20</v>
      </c>
      <c r="M100" s="78">
        <v>40</v>
      </c>
      <c r="N100" s="78">
        <v>7</v>
      </c>
      <c r="O100" s="78">
        <v>412</v>
      </c>
      <c r="P100" s="78">
        <v>0</v>
      </c>
      <c r="Q100" s="78">
        <v>261</v>
      </c>
      <c r="R100" s="78">
        <v>0</v>
      </c>
      <c r="S100" s="78">
        <v>324</v>
      </c>
      <c r="T100" s="78">
        <v>0</v>
      </c>
      <c r="U100" s="78">
        <v>0</v>
      </c>
    </row>
    <row r="101" spans="1:21" x14ac:dyDescent="0.35">
      <c r="A101" s="74" t="s">
        <v>36</v>
      </c>
      <c r="B101" s="74" t="s">
        <v>254</v>
      </c>
      <c r="C101" s="74" t="s">
        <v>255</v>
      </c>
      <c r="D101" s="75">
        <v>212</v>
      </c>
      <c r="E101" s="75">
        <v>4702</v>
      </c>
      <c r="F101" s="76">
        <v>4.5087196937473414E-2</v>
      </c>
      <c r="G101" s="77">
        <v>0.95283018867924529</v>
      </c>
      <c r="H101" s="77">
        <v>1.8867924528301886E-2</v>
      </c>
      <c r="I101" s="78">
        <v>176</v>
      </c>
      <c r="J101" s="78">
        <v>26</v>
      </c>
      <c r="K101" s="78">
        <v>5</v>
      </c>
      <c r="L101" s="78">
        <v>3</v>
      </c>
      <c r="M101" s="78">
        <v>1</v>
      </c>
      <c r="N101" s="78">
        <v>1</v>
      </c>
      <c r="O101" s="78">
        <v>0</v>
      </c>
      <c r="P101" s="78">
        <v>0</v>
      </c>
      <c r="Q101" s="78">
        <v>210</v>
      </c>
      <c r="R101" s="78">
        <v>0</v>
      </c>
      <c r="S101" s="78">
        <v>0</v>
      </c>
      <c r="T101" s="78">
        <v>2</v>
      </c>
      <c r="U101" s="78">
        <v>0</v>
      </c>
    </row>
    <row r="102" spans="1:21" x14ac:dyDescent="0.35">
      <c r="A102" s="74" t="s">
        <v>36</v>
      </c>
      <c r="B102" s="74" t="s">
        <v>256</v>
      </c>
      <c r="C102" s="74" t="s">
        <v>257</v>
      </c>
      <c r="D102" s="75">
        <v>2244</v>
      </c>
      <c r="E102" s="75">
        <v>10266</v>
      </c>
      <c r="F102" s="76">
        <v>0.21858562244301577</v>
      </c>
      <c r="G102" s="77">
        <v>0.84269162210338677</v>
      </c>
      <c r="H102" s="77">
        <v>9.3582887700534759E-2</v>
      </c>
      <c r="I102" s="78">
        <v>1535</v>
      </c>
      <c r="J102" s="78">
        <v>356</v>
      </c>
      <c r="K102" s="78">
        <v>87</v>
      </c>
      <c r="L102" s="78">
        <v>70</v>
      </c>
      <c r="M102" s="78">
        <v>140</v>
      </c>
      <c r="N102" s="78">
        <v>56</v>
      </c>
      <c r="O102" s="78">
        <v>999</v>
      </c>
      <c r="P102" s="78">
        <v>0</v>
      </c>
      <c r="Q102" s="78">
        <v>855</v>
      </c>
      <c r="R102" s="78">
        <v>0</v>
      </c>
      <c r="S102" s="78">
        <v>390</v>
      </c>
      <c r="T102" s="78">
        <v>0</v>
      </c>
      <c r="U102" s="78">
        <v>0</v>
      </c>
    </row>
    <row r="103" spans="1:21" x14ac:dyDescent="0.35">
      <c r="A103" s="74" t="s">
        <v>36</v>
      </c>
      <c r="B103" s="74" t="s">
        <v>258</v>
      </c>
      <c r="C103" s="74" t="s">
        <v>259</v>
      </c>
      <c r="D103" s="75">
        <v>561</v>
      </c>
      <c r="E103" s="75">
        <v>4214</v>
      </c>
      <c r="F103" s="76">
        <v>0.13312766967252018</v>
      </c>
      <c r="G103" s="77">
        <v>0.87522281639928701</v>
      </c>
      <c r="H103" s="77">
        <v>8.0213903743315509E-2</v>
      </c>
      <c r="I103" s="78">
        <v>423</v>
      </c>
      <c r="J103" s="78">
        <v>68</v>
      </c>
      <c r="K103" s="78">
        <v>20</v>
      </c>
      <c r="L103" s="78">
        <v>22</v>
      </c>
      <c r="M103" s="78">
        <v>23</v>
      </c>
      <c r="N103" s="78">
        <v>5</v>
      </c>
      <c r="O103" s="78">
        <v>454</v>
      </c>
      <c r="P103" s="78">
        <v>0</v>
      </c>
      <c r="Q103" s="78">
        <v>44</v>
      </c>
      <c r="R103" s="78">
        <v>0</v>
      </c>
      <c r="S103" s="78">
        <v>63</v>
      </c>
      <c r="T103" s="78">
        <v>0</v>
      </c>
      <c r="U103" s="78">
        <v>0</v>
      </c>
    </row>
    <row r="104" spans="1:21" x14ac:dyDescent="0.35">
      <c r="A104" s="74" t="s">
        <v>36</v>
      </c>
      <c r="B104" s="74" t="s">
        <v>260</v>
      </c>
      <c r="C104" s="74" t="s">
        <v>261</v>
      </c>
      <c r="D104" s="75">
        <v>1370</v>
      </c>
      <c r="E104" s="75">
        <v>6477</v>
      </c>
      <c r="F104" s="76">
        <v>0.21151767793731666</v>
      </c>
      <c r="G104" s="77">
        <v>0.88978102189781016</v>
      </c>
      <c r="H104" s="77">
        <v>7.153284671532846E-2</v>
      </c>
      <c r="I104" s="78">
        <v>1009</v>
      </c>
      <c r="J104" s="78">
        <v>210</v>
      </c>
      <c r="K104" s="78">
        <v>39</v>
      </c>
      <c r="L104" s="78">
        <v>45</v>
      </c>
      <c r="M104" s="78">
        <v>53</v>
      </c>
      <c r="N104" s="78">
        <v>14</v>
      </c>
      <c r="O104" s="78">
        <v>1034</v>
      </c>
      <c r="P104" s="78">
        <v>0</v>
      </c>
      <c r="Q104" s="78">
        <v>24</v>
      </c>
      <c r="R104" s="78">
        <v>0</v>
      </c>
      <c r="S104" s="78">
        <v>306</v>
      </c>
      <c r="T104" s="78">
        <v>6</v>
      </c>
      <c r="U104" s="78">
        <v>0</v>
      </c>
    </row>
    <row r="105" spans="1:21" x14ac:dyDescent="0.35">
      <c r="A105" s="74" t="s">
        <v>46</v>
      </c>
      <c r="B105" s="74" t="s">
        <v>262</v>
      </c>
      <c r="C105" s="74" t="s">
        <v>263</v>
      </c>
      <c r="D105" s="75">
        <v>820</v>
      </c>
      <c r="E105" s="75">
        <v>3127</v>
      </c>
      <c r="F105" s="76">
        <v>0.26223217141029742</v>
      </c>
      <c r="G105" s="77">
        <v>0.82804878048780484</v>
      </c>
      <c r="H105" s="77">
        <v>0.10731707317073171</v>
      </c>
      <c r="I105" s="78">
        <v>546</v>
      </c>
      <c r="J105" s="78">
        <v>133</v>
      </c>
      <c r="K105" s="78">
        <v>30</v>
      </c>
      <c r="L105" s="78">
        <v>36</v>
      </c>
      <c r="M105" s="78">
        <v>52</v>
      </c>
      <c r="N105" s="78">
        <v>23</v>
      </c>
      <c r="O105" s="78">
        <v>820</v>
      </c>
      <c r="P105" s="78">
        <v>0</v>
      </c>
      <c r="Q105" s="78">
        <v>0</v>
      </c>
      <c r="R105" s="78">
        <v>0</v>
      </c>
      <c r="S105" s="78">
        <v>0</v>
      </c>
      <c r="T105" s="78">
        <v>0</v>
      </c>
      <c r="U105" s="78">
        <v>0</v>
      </c>
    </row>
    <row r="106" spans="1:21" x14ac:dyDescent="0.35">
      <c r="A106" s="74" t="s">
        <v>46</v>
      </c>
      <c r="B106" s="74" t="s">
        <v>264</v>
      </c>
      <c r="C106" s="74" t="s">
        <v>265</v>
      </c>
      <c r="D106" s="75">
        <v>41</v>
      </c>
      <c r="E106" s="75">
        <v>2961</v>
      </c>
      <c r="F106" s="76">
        <v>1.3846673421141506E-2</v>
      </c>
      <c r="G106" s="77">
        <v>0.80487804878048785</v>
      </c>
      <c r="H106" s="77">
        <v>0.12195121951219512</v>
      </c>
      <c r="I106" s="78" t="s">
        <v>266</v>
      </c>
      <c r="J106" s="78" t="s">
        <v>266</v>
      </c>
      <c r="K106" s="78" t="s">
        <v>266</v>
      </c>
      <c r="L106" s="78" t="s">
        <v>266</v>
      </c>
      <c r="M106" s="78" t="s">
        <v>266</v>
      </c>
      <c r="N106" s="78" t="s">
        <v>266</v>
      </c>
      <c r="O106" s="78" t="s">
        <v>266</v>
      </c>
      <c r="P106" s="78" t="s">
        <v>266</v>
      </c>
      <c r="Q106" s="78" t="s">
        <v>266</v>
      </c>
      <c r="R106" s="78" t="s">
        <v>266</v>
      </c>
      <c r="S106" s="78" t="s">
        <v>266</v>
      </c>
      <c r="T106" s="78" t="s">
        <v>266</v>
      </c>
      <c r="U106" s="78" t="s">
        <v>266</v>
      </c>
    </row>
    <row r="107" spans="1:21" x14ac:dyDescent="0.35">
      <c r="A107" s="74" t="s">
        <v>46</v>
      </c>
      <c r="B107" s="74" t="s">
        <v>267</v>
      </c>
      <c r="C107" s="74" t="s">
        <v>268</v>
      </c>
      <c r="D107" s="75">
        <v>969</v>
      </c>
      <c r="E107" s="75">
        <v>3652</v>
      </c>
      <c r="F107" s="76">
        <v>0.26533406352683458</v>
      </c>
      <c r="G107" s="77">
        <v>0.83384932920536636</v>
      </c>
      <c r="H107" s="77">
        <v>0.12280701754385964</v>
      </c>
      <c r="I107" s="78">
        <v>634</v>
      </c>
      <c r="J107" s="78">
        <v>174</v>
      </c>
      <c r="K107" s="78">
        <v>20</v>
      </c>
      <c r="L107" s="78">
        <v>46</v>
      </c>
      <c r="M107" s="78">
        <v>73</v>
      </c>
      <c r="N107" s="78">
        <v>22</v>
      </c>
      <c r="O107" s="78">
        <v>934</v>
      </c>
      <c r="P107" s="78">
        <v>0</v>
      </c>
      <c r="Q107" s="78">
        <v>35</v>
      </c>
      <c r="R107" s="78">
        <v>0</v>
      </c>
      <c r="S107" s="78">
        <v>0</v>
      </c>
      <c r="T107" s="78">
        <v>0</v>
      </c>
      <c r="U107" s="78">
        <v>0</v>
      </c>
    </row>
    <row r="108" spans="1:21" x14ac:dyDescent="0.35">
      <c r="A108" s="74" t="s">
        <v>46</v>
      </c>
      <c r="B108" s="74" t="s">
        <v>269</v>
      </c>
      <c r="C108" s="74" t="s">
        <v>270</v>
      </c>
      <c r="D108" s="75">
        <v>1086</v>
      </c>
      <c r="E108" s="75">
        <v>7953</v>
      </c>
      <c r="F108" s="76">
        <v>0.13655224443606187</v>
      </c>
      <c r="G108" s="77">
        <v>0.88029465930018413</v>
      </c>
      <c r="H108" s="77">
        <v>6.0773480662983423E-2</v>
      </c>
      <c r="I108" s="78">
        <v>767</v>
      </c>
      <c r="J108" s="78">
        <v>189</v>
      </c>
      <c r="K108" s="78">
        <v>53</v>
      </c>
      <c r="L108" s="78">
        <v>34</v>
      </c>
      <c r="M108" s="78">
        <v>32</v>
      </c>
      <c r="N108" s="78">
        <v>11</v>
      </c>
      <c r="O108" s="78">
        <v>810</v>
      </c>
      <c r="P108" s="78">
        <v>1</v>
      </c>
      <c r="Q108" s="78">
        <v>274</v>
      </c>
      <c r="R108" s="78">
        <v>0</v>
      </c>
      <c r="S108" s="78">
        <v>0</v>
      </c>
      <c r="T108" s="78">
        <v>1</v>
      </c>
      <c r="U108" s="78">
        <v>0</v>
      </c>
    </row>
    <row r="109" spans="1:21" x14ac:dyDescent="0.35">
      <c r="A109" s="74" t="s">
        <v>46</v>
      </c>
      <c r="B109" s="74" t="s">
        <v>271</v>
      </c>
      <c r="C109" s="74" t="s">
        <v>272</v>
      </c>
      <c r="D109" s="75">
        <v>0</v>
      </c>
      <c r="E109" s="75">
        <v>4179</v>
      </c>
      <c r="F109" s="76">
        <v>0</v>
      </c>
      <c r="G109" s="77" t="s">
        <v>11</v>
      </c>
      <c r="H109" s="77" t="s">
        <v>11</v>
      </c>
      <c r="I109" s="78">
        <v>0</v>
      </c>
      <c r="J109" s="78">
        <v>0</v>
      </c>
      <c r="K109" s="78">
        <v>0</v>
      </c>
      <c r="L109" s="78">
        <v>0</v>
      </c>
      <c r="M109" s="78">
        <v>0</v>
      </c>
      <c r="N109" s="78">
        <v>0</v>
      </c>
      <c r="O109" s="78">
        <v>0</v>
      </c>
      <c r="P109" s="78">
        <v>0</v>
      </c>
      <c r="Q109" s="78">
        <v>0</v>
      </c>
      <c r="R109" s="78">
        <v>0</v>
      </c>
      <c r="S109" s="78">
        <v>0</v>
      </c>
      <c r="T109" s="78">
        <v>0</v>
      </c>
      <c r="U109" s="78">
        <v>0</v>
      </c>
    </row>
    <row r="110" spans="1:21" x14ac:dyDescent="0.35">
      <c r="A110" s="74" t="s">
        <v>46</v>
      </c>
      <c r="B110" s="74" t="s">
        <v>273</v>
      </c>
      <c r="C110" s="74" t="s">
        <v>274</v>
      </c>
      <c r="D110" s="75">
        <v>241</v>
      </c>
      <c r="E110" s="75">
        <v>3849</v>
      </c>
      <c r="F110" s="76">
        <v>6.2613665887243444E-2</v>
      </c>
      <c r="G110" s="77">
        <v>0.90871369294605808</v>
      </c>
      <c r="H110" s="77">
        <v>5.3941908713692949E-2</v>
      </c>
      <c r="I110" s="78">
        <v>188</v>
      </c>
      <c r="J110" s="78">
        <v>31</v>
      </c>
      <c r="K110" s="78">
        <v>5</v>
      </c>
      <c r="L110" s="78">
        <v>5</v>
      </c>
      <c r="M110" s="78">
        <v>8</v>
      </c>
      <c r="N110" s="78">
        <v>4</v>
      </c>
      <c r="O110" s="78">
        <v>0</v>
      </c>
      <c r="P110" s="78">
        <v>0</v>
      </c>
      <c r="Q110" s="78">
        <v>241</v>
      </c>
      <c r="R110" s="78">
        <v>0</v>
      </c>
      <c r="S110" s="78">
        <v>0</v>
      </c>
      <c r="T110" s="78">
        <v>0</v>
      </c>
      <c r="U110" s="78">
        <v>0</v>
      </c>
    </row>
    <row r="111" spans="1:21" x14ac:dyDescent="0.35">
      <c r="A111" s="74" t="s">
        <v>46</v>
      </c>
      <c r="B111" s="74" t="s">
        <v>275</v>
      </c>
      <c r="C111" s="74" t="s">
        <v>276</v>
      </c>
      <c r="D111" s="75">
        <v>552</v>
      </c>
      <c r="E111" s="75">
        <v>8242</v>
      </c>
      <c r="F111" s="76">
        <v>6.697403542829411E-2</v>
      </c>
      <c r="G111" s="77">
        <v>0.86594202898550721</v>
      </c>
      <c r="H111" s="77">
        <v>8.8768115942028991E-2</v>
      </c>
      <c r="I111" s="78">
        <v>441</v>
      </c>
      <c r="J111" s="78">
        <v>37</v>
      </c>
      <c r="K111" s="78">
        <v>15</v>
      </c>
      <c r="L111" s="78">
        <v>13</v>
      </c>
      <c r="M111" s="78">
        <v>36</v>
      </c>
      <c r="N111" s="78">
        <v>10</v>
      </c>
      <c r="O111" s="78">
        <v>372</v>
      </c>
      <c r="P111" s="78">
        <v>10</v>
      </c>
      <c r="Q111" s="78">
        <v>170</v>
      </c>
      <c r="R111" s="78">
        <v>0</v>
      </c>
      <c r="S111" s="78">
        <v>0</v>
      </c>
      <c r="T111" s="78">
        <v>0</v>
      </c>
      <c r="U111" s="78">
        <v>0</v>
      </c>
    </row>
    <row r="112" spans="1:21" x14ac:dyDescent="0.35">
      <c r="A112" s="74" t="s">
        <v>46</v>
      </c>
      <c r="B112" s="74" t="s">
        <v>277</v>
      </c>
      <c r="C112" s="74" t="s">
        <v>278</v>
      </c>
      <c r="D112" s="75">
        <v>2</v>
      </c>
      <c r="E112" s="75">
        <v>5459</v>
      </c>
      <c r="F112" s="76">
        <v>3.6636746656896867E-4</v>
      </c>
      <c r="G112" s="77" t="s">
        <v>266</v>
      </c>
      <c r="H112" s="77" t="s">
        <v>266</v>
      </c>
      <c r="I112" s="78" t="s">
        <v>266</v>
      </c>
      <c r="J112" s="78" t="s">
        <v>266</v>
      </c>
      <c r="K112" s="78" t="s">
        <v>266</v>
      </c>
      <c r="L112" s="78" t="s">
        <v>266</v>
      </c>
      <c r="M112" s="78" t="s">
        <v>266</v>
      </c>
      <c r="N112" s="78" t="s">
        <v>266</v>
      </c>
      <c r="O112" s="78" t="s">
        <v>266</v>
      </c>
      <c r="P112" s="78" t="s">
        <v>266</v>
      </c>
      <c r="Q112" s="78" t="s">
        <v>266</v>
      </c>
      <c r="R112" s="78" t="s">
        <v>266</v>
      </c>
      <c r="S112" s="78" t="s">
        <v>266</v>
      </c>
      <c r="T112" s="78" t="s">
        <v>266</v>
      </c>
      <c r="U112" s="78" t="s">
        <v>266</v>
      </c>
    </row>
    <row r="113" spans="1:21" x14ac:dyDescent="0.35">
      <c r="A113" s="74" t="s">
        <v>46</v>
      </c>
      <c r="B113" s="74" t="s">
        <v>279</v>
      </c>
      <c r="C113" s="74" t="s">
        <v>280</v>
      </c>
      <c r="D113" s="75">
        <v>1117</v>
      </c>
      <c r="E113" s="75">
        <v>16464</v>
      </c>
      <c r="F113" s="76">
        <v>6.7844995140913508E-2</v>
      </c>
      <c r="G113" s="77">
        <v>0.964189794091316</v>
      </c>
      <c r="H113" s="77">
        <v>5.3715308863025966E-3</v>
      </c>
      <c r="I113" s="78">
        <v>889</v>
      </c>
      <c r="J113" s="78">
        <v>188</v>
      </c>
      <c r="K113" s="78">
        <v>23</v>
      </c>
      <c r="L113" s="78">
        <v>4</v>
      </c>
      <c r="M113" s="78">
        <v>2</v>
      </c>
      <c r="N113" s="78">
        <v>11</v>
      </c>
      <c r="O113" s="78">
        <v>0</v>
      </c>
      <c r="P113" s="78">
        <v>456</v>
      </c>
      <c r="Q113" s="78">
        <v>658</v>
      </c>
      <c r="R113" s="78">
        <v>0</v>
      </c>
      <c r="S113" s="78">
        <v>0</v>
      </c>
      <c r="T113" s="78">
        <v>3</v>
      </c>
      <c r="U113" s="78">
        <v>0</v>
      </c>
    </row>
    <row r="114" spans="1:21" x14ac:dyDescent="0.35">
      <c r="A114" s="74" t="s">
        <v>46</v>
      </c>
      <c r="B114" s="74" t="s">
        <v>281</v>
      </c>
      <c r="C114" s="74" t="s">
        <v>282</v>
      </c>
      <c r="D114" s="75">
        <v>106</v>
      </c>
      <c r="E114" s="75">
        <v>3594</v>
      </c>
      <c r="F114" s="76">
        <v>2.9493600445186421E-2</v>
      </c>
      <c r="G114" s="77">
        <v>0.94339622641509435</v>
      </c>
      <c r="H114" s="77">
        <v>2.8301886792452831E-2</v>
      </c>
      <c r="I114" s="78">
        <v>88</v>
      </c>
      <c r="J114" s="78">
        <v>12</v>
      </c>
      <c r="K114" s="78">
        <v>2</v>
      </c>
      <c r="L114" s="78">
        <v>1</v>
      </c>
      <c r="M114" s="78">
        <v>2</v>
      </c>
      <c r="N114" s="78">
        <v>1</v>
      </c>
      <c r="O114" s="78">
        <v>0</v>
      </c>
      <c r="P114" s="78">
        <v>0</v>
      </c>
      <c r="Q114" s="78">
        <v>16</v>
      </c>
      <c r="R114" s="78">
        <v>90</v>
      </c>
      <c r="S114" s="78">
        <v>0</v>
      </c>
      <c r="T114" s="78">
        <v>0</v>
      </c>
      <c r="U114" s="78">
        <v>0</v>
      </c>
    </row>
    <row r="115" spans="1:21" x14ac:dyDescent="0.35">
      <c r="A115" s="74" t="s">
        <v>48</v>
      </c>
      <c r="B115" s="74" t="s">
        <v>283</v>
      </c>
      <c r="C115" s="74" t="s">
        <v>284</v>
      </c>
      <c r="D115" s="75">
        <v>934</v>
      </c>
      <c r="E115" s="75">
        <v>5551</v>
      </c>
      <c r="F115" s="76">
        <v>0.16825797153666006</v>
      </c>
      <c r="G115" s="77">
        <v>0.79764453961456105</v>
      </c>
      <c r="H115" s="77">
        <v>0.12740899357601712</v>
      </c>
      <c r="I115" s="78">
        <v>595</v>
      </c>
      <c r="J115" s="78">
        <v>150</v>
      </c>
      <c r="K115" s="78">
        <v>55</v>
      </c>
      <c r="L115" s="78">
        <v>40</v>
      </c>
      <c r="M115" s="78">
        <v>79</v>
      </c>
      <c r="N115" s="78">
        <v>15</v>
      </c>
      <c r="O115" s="78">
        <v>638</v>
      </c>
      <c r="P115" s="78">
        <v>0</v>
      </c>
      <c r="Q115" s="78">
        <v>0</v>
      </c>
      <c r="R115" s="78">
        <v>0</v>
      </c>
      <c r="S115" s="78">
        <v>296</v>
      </c>
      <c r="T115" s="78">
        <v>0</v>
      </c>
      <c r="U115" s="78">
        <v>0</v>
      </c>
    </row>
    <row r="116" spans="1:21" x14ac:dyDescent="0.35">
      <c r="A116" s="74" t="s">
        <v>48</v>
      </c>
      <c r="B116" s="74" t="s">
        <v>285</v>
      </c>
      <c r="C116" s="74" t="s">
        <v>286</v>
      </c>
      <c r="D116" s="75">
        <v>372</v>
      </c>
      <c r="E116" s="75">
        <v>5047</v>
      </c>
      <c r="F116" s="76">
        <v>7.3707152764018236E-2</v>
      </c>
      <c r="G116" s="77">
        <v>0.793010752688172</v>
      </c>
      <c r="H116" s="77">
        <v>0.14516129032258066</v>
      </c>
      <c r="I116" s="78">
        <v>228</v>
      </c>
      <c r="J116" s="78">
        <v>67</v>
      </c>
      <c r="K116" s="78">
        <v>21</v>
      </c>
      <c r="L116" s="78">
        <v>22</v>
      </c>
      <c r="M116" s="78">
        <v>32</v>
      </c>
      <c r="N116" s="78">
        <v>2</v>
      </c>
      <c r="O116" s="78">
        <v>343</v>
      </c>
      <c r="P116" s="78">
        <v>2</v>
      </c>
      <c r="Q116" s="78">
        <v>25</v>
      </c>
      <c r="R116" s="78">
        <v>0</v>
      </c>
      <c r="S116" s="78">
        <v>0</v>
      </c>
      <c r="T116" s="78">
        <v>2</v>
      </c>
      <c r="U116" s="78">
        <v>0</v>
      </c>
    </row>
    <row r="117" spans="1:21" x14ac:dyDescent="0.35">
      <c r="A117" s="74" t="s">
        <v>48</v>
      </c>
      <c r="B117" s="74" t="s">
        <v>287</v>
      </c>
      <c r="C117" s="74" t="s">
        <v>288</v>
      </c>
      <c r="D117" s="75">
        <v>1453</v>
      </c>
      <c r="E117" s="75">
        <v>7425</v>
      </c>
      <c r="F117" s="76">
        <v>0.19569023569023569</v>
      </c>
      <c r="G117" s="77">
        <v>0.84033035099793529</v>
      </c>
      <c r="H117" s="77">
        <v>0.10805230557467309</v>
      </c>
      <c r="I117" s="78">
        <v>1020</v>
      </c>
      <c r="J117" s="78">
        <v>201</v>
      </c>
      <c r="K117" s="78">
        <v>65</v>
      </c>
      <c r="L117" s="78">
        <v>48</v>
      </c>
      <c r="M117" s="78">
        <v>109</v>
      </c>
      <c r="N117" s="78">
        <v>10</v>
      </c>
      <c r="O117" s="78">
        <v>1020</v>
      </c>
      <c r="P117" s="78">
        <v>0</v>
      </c>
      <c r="Q117" s="78">
        <v>0</v>
      </c>
      <c r="R117" s="78">
        <v>0</v>
      </c>
      <c r="S117" s="78">
        <v>432</v>
      </c>
      <c r="T117" s="78">
        <v>1</v>
      </c>
      <c r="U117" s="78">
        <v>0</v>
      </c>
    </row>
    <row r="118" spans="1:21" x14ac:dyDescent="0.35">
      <c r="A118" s="74" t="s">
        <v>48</v>
      </c>
      <c r="B118" s="74" t="s">
        <v>289</v>
      </c>
      <c r="C118" s="74" t="s">
        <v>290</v>
      </c>
      <c r="D118" s="75">
        <v>1034</v>
      </c>
      <c r="E118" s="75">
        <v>6964</v>
      </c>
      <c r="F118" s="76">
        <v>0.14847788627225733</v>
      </c>
      <c r="G118" s="77">
        <v>0.95261121856866537</v>
      </c>
      <c r="H118" s="77">
        <v>1.4506769825918761E-2</v>
      </c>
      <c r="I118" s="78">
        <v>776</v>
      </c>
      <c r="J118" s="78">
        <v>209</v>
      </c>
      <c r="K118" s="78">
        <v>30</v>
      </c>
      <c r="L118" s="78">
        <v>6</v>
      </c>
      <c r="M118" s="78">
        <v>9</v>
      </c>
      <c r="N118" s="78">
        <v>4</v>
      </c>
      <c r="O118" s="78">
        <v>0</v>
      </c>
      <c r="P118" s="78">
        <v>0</v>
      </c>
      <c r="Q118" s="78">
        <v>1031</v>
      </c>
      <c r="R118" s="78">
        <v>0</v>
      </c>
      <c r="S118" s="78">
        <v>0</v>
      </c>
      <c r="T118" s="78">
        <v>3</v>
      </c>
      <c r="U118" s="78">
        <v>0</v>
      </c>
    </row>
    <row r="119" spans="1:21" x14ac:dyDescent="0.35">
      <c r="A119" s="74" t="s">
        <v>48</v>
      </c>
      <c r="B119" s="74" t="s">
        <v>291</v>
      </c>
      <c r="C119" s="74" t="s">
        <v>292</v>
      </c>
      <c r="D119" s="75">
        <v>26</v>
      </c>
      <c r="E119" s="75">
        <v>3453</v>
      </c>
      <c r="F119" s="76">
        <v>7.5296843324645238E-3</v>
      </c>
      <c r="G119" s="77">
        <v>0.96153846153846156</v>
      </c>
      <c r="H119" s="77">
        <v>3.8461538461538464E-2</v>
      </c>
      <c r="I119" s="78">
        <v>23</v>
      </c>
      <c r="J119" s="78">
        <v>2</v>
      </c>
      <c r="K119" s="78">
        <v>0</v>
      </c>
      <c r="L119" s="78">
        <v>0</v>
      </c>
      <c r="M119" s="78">
        <v>1</v>
      </c>
      <c r="N119" s="78">
        <v>0</v>
      </c>
      <c r="O119" s="78">
        <v>0</v>
      </c>
      <c r="P119" s="78">
        <v>0</v>
      </c>
      <c r="Q119" s="78">
        <v>26</v>
      </c>
      <c r="R119" s="78">
        <v>0</v>
      </c>
      <c r="S119" s="78">
        <v>0</v>
      </c>
      <c r="T119" s="78">
        <v>0</v>
      </c>
      <c r="U119" s="78">
        <v>0</v>
      </c>
    </row>
    <row r="120" spans="1:21" x14ac:dyDescent="0.35">
      <c r="A120" s="74" t="s">
        <v>48</v>
      </c>
      <c r="B120" s="74" t="s">
        <v>293</v>
      </c>
      <c r="C120" s="74" t="s">
        <v>294</v>
      </c>
      <c r="D120" s="75">
        <v>1565</v>
      </c>
      <c r="E120" s="75">
        <v>9019</v>
      </c>
      <c r="F120" s="76">
        <v>0.1735225634771039</v>
      </c>
      <c r="G120" s="77">
        <v>0.82939297124600642</v>
      </c>
      <c r="H120" s="77">
        <v>0.10159744408945687</v>
      </c>
      <c r="I120" s="78">
        <v>1024</v>
      </c>
      <c r="J120" s="78">
        <v>274</v>
      </c>
      <c r="K120" s="78">
        <v>69</v>
      </c>
      <c r="L120" s="78">
        <v>51</v>
      </c>
      <c r="M120" s="78">
        <v>108</v>
      </c>
      <c r="N120" s="78">
        <v>39</v>
      </c>
      <c r="O120" s="78">
        <v>569</v>
      </c>
      <c r="P120" s="78">
        <v>445</v>
      </c>
      <c r="Q120" s="78">
        <v>551</v>
      </c>
      <c r="R120" s="78">
        <v>0</v>
      </c>
      <c r="S120" s="78">
        <v>0</v>
      </c>
      <c r="T120" s="78">
        <v>0</v>
      </c>
      <c r="U120" s="78">
        <v>0</v>
      </c>
    </row>
    <row r="121" spans="1:21" x14ac:dyDescent="0.35">
      <c r="A121" s="74" t="s">
        <v>48</v>
      </c>
      <c r="B121" s="74" t="s">
        <v>295</v>
      </c>
      <c r="C121" s="74" t="s">
        <v>296</v>
      </c>
      <c r="D121" s="75">
        <v>199</v>
      </c>
      <c r="E121" s="75">
        <v>3796</v>
      </c>
      <c r="F121" s="76">
        <v>5.2423603793466805E-2</v>
      </c>
      <c r="G121" s="77">
        <v>0.95477386934673369</v>
      </c>
      <c r="H121" s="77">
        <v>3.5175879396984924E-2</v>
      </c>
      <c r="I121" s="78">
        <v>163</v>
      </c>
      <c r="J121" s="78">
        <v>27</v>
      </c>
      <c r="K121" s="78">
        <v>1</v>
      </c>
      <c r="L121" s="78">
        <v>3</v>
      </c>
      <c r="M121" s="78">
        <v>4</v>
      </c>
      <c r="N121" s="78">
        <v>1</v>
      </c>
      <c r="O121" s="78">
        <v>0</v>
      </c>
      <c r="P121" s="78">
        <v>0</v>
      </c>
      <c r="Q121" s="78">
        <v>199</v>
      </c>
      <c r="R121" s="78">
        <v>0</v>
      </c>
      <c r="S121" s="78">
        <v>0</v>
      </c>
      <c r="T121" s="78">
        <v>0</v>
      </c>
      <c r="U121" s="78">
        <v>0</v>
      </c>
    </row>
    <row r="122" spans="1:21" x14ac:dyDescent="0.35">
      <c r="A122" s="74" t="s">
        <v>50</v>
      </c>
      <c r="B122" s="74" t="s">
        <v>297</v>
      </c>
      <c r="C122" s="74" t="s">
        <v>298</v>
      </c>
      <c r="D122" s="75">
        <v>1215</v>
      </c>
      <c r="E122" s="75">
        <v>5686</v>
      </c>
      <c r="F122" s="76">
        <v>0.21368272951107983</v>
      </c>
      <c r="G122" s="77">
        <v>0.83209876543209882</v>
      </c>
      <c r="H122" s="77">
        <v>9.3004115226337447E-2</v>
      </c>
      <c r="I122" s="78">
        <v>814</v>
      </c>
      <c r="J122" s="78">
        <v>197</v>
      </c>
      <c r="K122" s="78">
        <v>66</v>
      </c>
      <c r="L122" s="78">
        <v>47</v>
      </c>
      <c r="M122" s="78">
        <v>66</v>
      </c>
      <c r="N122" s="78">
        <v>25</v>
      </c>
      <c r="O122" s="78">
        <v>1215</v>
      </c>
      <c r="P122" s="78">
        <v>0</v>
      </c>
      <c r="Q122" s="78">
        <v>0</v>
      </c>
      <c r="R122" s="78">
        <v>0</v>
      </c>
      <c r="S122" s="78">
        <v>0</v>
      </c>
      <c r="T122" s="78">
        <v>0</v>
      </c>
      <c r="U122" s="78">
        <v>0</v>
      </c>
    </row>
    <row r="123" spans="1:21" x14ac:dyDescent="0.35">
      <c r="A123" s="74" t="s">
        <v>50</v>
      </c>
      <c r="B123" s="74" t="s">
        <v>299</v>
      </c>
      <c r="C123" s="74" t="s">
        <v>300</v>
      </c>
      <c r="D123" s="75">
        <v>1267</v>
      </c>
      <c r="E123" s="75">
        <v>14922</v>
      </c>
      <c r="F123" s="76">
        <v>8.4908189250770677E-2</v>
      </c>
      <c r="G123" s="77">
        <v>0.94790844514601424</v>
      </c>
      <c r="H123" s="77">
        <v>1.5785319652722968E-2</v>
      </c>
      <c r="I123" s="78">
        <v>916</v>
      </c>
      <c r="J123" s="78">
        <v>285</v>
      </c>
      <c r="K123" s="78">
        <v>33</v>
      </c>
      <c r="L123" s="78">
        <v>10</v>
      </c>
      <c r="M123" s="78">
        <v>10</v>
      </c>
      <c r="N123" s="78">
        <v>13</v>
      </c>
      <c r="O123" s="78">
        <v>0</v>
      </c>
      <c r="P123" s="78">
        <v>0</v>
      </c>
      <c r="Q123" s="78">
        <v>1265</v>
      </c>
      <c r="R123" s="78">
        <v>0</v>
      </c>
      <c r="S123" s="78">
        <v>0</v>
      </c>
      <c r="T123" s="78">
        <v>2</v>
      </c>
      <c r="U123" s="78">
        <v>0</v>
      </c>
    </row>
    <row r="124" spans="1:21" x14ac:dyDescent="0.35">
      <c r="A124" s="74" t="s">
        <v>50</v>
      </c>
      <c r="B124" s="74" t="s">
        <v>301</v>
      </c>
      <c r="C124" s="74" t="s">
        <v>302</v>
      </c>
      <c r="D124" s="75">
        <v>1796</v>
      </c>
      <c r="E124" s="75">
        <v>9433</v>
      </c>
      <c r="F124" s="76">
        <v>0.19039542033287396</v>
      </c>
      <c r="G124" s="77">
        <v>0.86024498886414258</v>
      </c>
      <c r="H124" s="77">
        <v>8.1291759465478841E-2</v>
      </c>
      <c r="I124" s="78">
        <v>1258</v>
      </c>
      <c r="J124" s="78">
        <v>287</v>
      </c>
      <c r="K124" s="78">
        <v>80</v>
      </c>
      <c r="L124" s="78">
        <v>65</v>
      </c>
      <c r="M124" s="78">
        <v>81</v>
      </c>
      <c r="N124" s="78">
        <v>25</v>
      </c>
      <c r="O124" s="78">
        <v>944</v>
      </c>
      <c r="P124" s="78">
        <v>0</v>
      </c>
      <c r="Q124" s="78">
        <v>91</v>
      </c>
      <c r="R124" s="78">
        <v>0</v>
      </c>
      <c r="S124" s="78">
        <v>761</v>
      </c>
      <c r="T124" s="78">
        <v>0</v>
      </c>
      <c r="U124" s="78">
        <v>0</v>
      </c>
    </row>
    <row r="125" spans="1:21" x14ac:dyDescent="0.35">
      <c r="A125" s="74" t="s">
        <v>50</v>
      </c>
      <c r="B125" s="74" t="s">
        <v>303</v>
      </c>
      <c r="C125" s="74" t="s">
        <v>304</v>
      </c>
      <c r="D125" s="75">
        <v>14</v>
      </c>
      <c r="E125" s="75">
        <v>3536</v>
      </c>
      <c r="F125" s="76">
        <v>3.9592760180995473E-3</v>
      </c>
      <c r="G125" s="77">
        <v>0.9285714285714286</v>
      </c>
      <c r="H125" s="77">
        <v>7.1428571428571425E-2</v>
      </c>
      <c r="I125" s="78" t="s">
        <v>266</v>
      </c>
      <c r="J125" s="78" t="s">
        <v>266</v>
      </c>
      <c r="K125" s="78" t="s">
        <v>266</v>
      </c>
      <c r="L125" s="78" t="s">
        <v>266</v>
      </c>
      <c r="M125" s="78" t="s">
        <v>266</v>
      </c>
      <c r="N125" s="78" t="s">
        <v>266</v>
      </c>
      <c r="O125" s="78" t="s">
        <v>266</v>
      </c>
      <c r="P125" s="78" t="s">
        <v>266</v>
      </c>
      <c r="Q125" s="78" t="s">
        <v>266</v>
      </c>
      <c r="R125" s="78" t="s">
        <v>266</v>
      </c>
      <c r="S125" s="78" t="s">
        <v>266</v>
      </c>
      <c r="T125" s="78" t="s">
        <v>266</v>
      </c>
      <c r="U125" s="78" t="s">
        <v>266</v>
      </c>
    </row>
    <row r="126" spans="1:21" x14ac:dyDescent="0.35">
      <c r="A126" s="74" t="s">
        <v>50</v>
      </c>
      <c r="B126" s="74" t="s">
        <v>305</v>
      </c>
      <c r="C126" s="74" t="s">
        <v>306</v>
      </c>
      <c r="D126" s="75">
        <v>1471</v>
      </c>
      <c r="E126" s="75">
        <v>7415</v>
      </c>
      <c r="F126" s="76">
        <v>0.19838165879973027</v>
      </c>
      <c r="G126" s="77">
        <v>0.86539768864717881</v>
      </c>
      <c r="H126" s="77">
        <v>8.7695445275322914E-2</v>
      </c>
      <c r="I126" s="78">
        <v>1059</v>
      </c>
      <c r="J126" s="78">
        <v>214</v>
      </c>
      <c r="K126" s="78">
        <v>56</v>
      </c>
      <c r="L126" s="78">
        <v>62</v>
      </c>
      <c r="M126" s="78">
        <v>67</v>
      </c>
      <c r="N126" s="78">
        <v>13</v>
      </c>
      <c r="O126" s="78">
        <v>1460</v>
      </c>
      <c r="P126" s="78">
        <v>0</v>
      </c>
      <c r="Q126" s="78">
        <v>0</v>
      </c>
      <c r="R126" s="78">
        <v>0</v>
      </c>
      <c r="S126" s="78">
        <v>0</v>
      </c>
      <c r="T126" s="78">
        <v>11</v>
      </c>
      <c r="U126" s="78">
        <v>0</v>
      </c>
    </row>
    <row r="127" spans="1:21" x14ac:dyDescent="0.35">
      <c r="A127" s="74" t="s">
        <v>50</v>
      </c>
      <c r="B127" s="74" t="s">
        <v>307</v>
      </c>
      <c r="C127" s="74" t="s">
        <v>308</v>
      </c>
      <c r="D127" s="75">
        <v>2673</v>
      </c>
      <c r="E127" s="75">
        <v>13303</v>
      </c>
      <c r="F127" s="76">
        <v>0.20093212057430654</v>
      </c>
      <c r="G127" s="77">
        <v>0.88664421997755327</v>
      </c>
      <c r="H127" s="77">
        <v>5.9483726150392817E-2</v>
      </c>
      <c r="I127" s="78">
        <v>1960</v>
      </c>
      <c r="J127" s="78">
        <v>410</v>
      </c>
      <c r="K127" s="78">
        <v>104</v>
      </c>
      <c r="L127" s="78">
        <v>63</v>
      </c>
      <c r="M127" s="78">
        <v>96</v>
      </c>
      <c r="N127" s="78">
        <v>40</v>
      </c>
      <c r="O127" s="78">
        <v>1465</v>
      </c>
      <c r="P127" s="78">
        <v>0</v>
      </c>
      <c r="Q127" s="78">
        <v>150</v>
      </c>
      <c r="R127" s="78">
        <v>0</v>
      </c>
      <c r="S127" s="78">
        <v>1058</v>
      </c>
      <c r="T127" s="78">
        <v>0</v>
      </c>
      <c r="U127" s="78">
        <v>0</v>
      </c>
    </row>
    <row r="128" spans="1:21" x14ac:dyDescent="0.35">
      <c r="A128" s="74" t="s">
        <v>50</v>
      </c>
      <c r="B128" s="74" t="s">
        <v>309</v>
      </c>
      <c r="C128" s="74" t="s">
        <v>310</v>
      </c>
      <c r="D128" s="75">
        <v>114</v>
      </c>
      <c r="E128" s="75">
        <v>8953</v>
      </c>
      <c r="F128" s="76">
        <v>1.2733162068580365E-2</v>
      </c>
      <c r="G128" s="77">
        <v>0.97368421052631582</v>
      </c>
      <c r="H128" s="77">
        <v>2.6315789473684209E-2</v>
      </c>
      <c r="I128" s="78">
        <v>102</v>
      </c>
      <c r="J128" s="78">
        <v>9</v>
      </c>
      <c r="K128" s="78">
        <v>0</v>
      </c>
      <c r="L128" s="78">
        <v>1</v>
      </c>
      <c r="M128" s="78">
        <v>2</v>
      </c>
      <c r="N128" s="78">
        <v>0</v>
      </c>
      <c r="O128" s="78">
        <v>0</v>
      </c>
      <c r="P128" s="78">
        <v>0</v>
      </c>
      <c r="Q128" s="78">
        <v>112</v>
      </c>
      <c r="R128" s="78">
        <v>0</v>
      </c>
      <c r="S128" s="78">
        <v>0</v>
      </c>
      <c r="T128" s="78">
        <v>2</v>
      </c>
      <c r="U128" s="78">
        <v>0</v>
      </c>
    </row>
    <row r="129" spans="1:21" x14ac:dyDescent="0.35">
      <c r="A129" s="74" t="s">
        <v>50</v>
      </c>
      <c r="B129" s="74" t="s">
        <v>311</v>
      </c>
      <c r="C129" s="74" t="s">
        <v>312</v>
      </c>
      <c r="D129" s="75">
        <v>1</v>
      </c>
      <c r="E129" s="75">
        <v>12156</v>
      </c>
      <c r="F129" s="76">
        <v>8.2263902599539321E-5</v>
      </c>
      <c r="G129" s="77" t="s">
        <v>266</v>
      </c>
      <c r="H129" s="77" t="s">
        <v>266</v>
      </c>
      <c r="I129" s="78" t="s">
        <v>266</v>
      </c>
      <c r="J129" s="78" t="s">
        <v>266</v>
      </c>
      <c r="K129" s="78" t="s">
        <v>266</v>
      </c>
      <c r="L129" s="78" t="s">
        <v>266</v>
      </c>
      <c r="M129" s="78" t="s">
        <v>266</v>
      </c>
      <c r="N129" s="78" t="s">
        <v>266</v>
      </c>
      <c r="O129" s="78" t="s">
        <v>266</v>
      </c>
      <c r="P129" s="78" t="s">
        <v>266</v>
      </c>
      <c r="Q129" s="78" t="s">
        <v>266</v>
      </c>
      <c r="R129" s="78" t="s">
        <v>266</v>
      </c>
      <c r="S129" s="78" t="s">
        <v>266</v>
      </c>
      <c r="T129" s="78" t="s">
        <v>266</v>
      </c>
      <c r="U129" s="78" t="s">
        <v>266</v>
      </c>
    </row>
    <row r="130" spans="1:21" x14ac:dyDescent="0.35">
      <c r="A130" s="74" t="s">
        <v>52</v>
      </c>
      <c r="B130" s="74" t="s">
        <v>313</v>
      </c>
      <c r="C130" s="74" t="s">
        <v>314</v>
      </c>
      <c r="D130" s="75">
        <v>450</v>
      </c>
      <c r="E130" s="75">
        <v>7569</v>
      </c>
      <c r="F130" s="76">
        <v>5.9453032104637336E-2</v>
      </c>
      <c r="G130" s="77">
        <v>0.60222222222222221</v>
      </c>
      <c r="H130" s="77">
        <v>0.2911111111111111</v>
      </c>
      <c r="I130" s="78">
        <v>222</v>
      </c>
      <c r="J130" s="78">
        <v>49</v>
      </c>
      <c r="K130" s="78">
        <v>19</v>
      </c>
      <c r="L130" s="78">
        <v>31</v>
      </c>
      <c r="M130" s="78">
        <v>100</v>
      </c>
      <c r="N130" s="78">
        <v>29</v>
      </c>
      <c r="O130" s="78">
        <v>0</v>
      </c>
      <c r="P130" s="78">
        <v>450</v>
      </c>
      <c r="Q130" s="78">
        <v>0</v>
      </c>
      <c r="R130" s="78">
        <v>0</v>
      </c>
      <c r="S130" s="78">
        <v>0</v>
      </c>
      <c r="T130" s="78">
        <v>0</v>
      </c>
      <c r="U130" s="78">
        <v>0</v>
      </c>
    </row>
    <row r="131" spans="1:21" x14ac:dyDescent="0.35">
      <c r="A131" s="74" t="s">
        <v>52</v>
      </c>
      <c r="B131" s="74" t="s">
        <v>315</v>
      </c>
      <c r="C131" s="74" t="s">
        <v>316</v>
      </c>
      <c r="D131" s="75">
        <v>2570</v>
      </c>
      <c r="E131" s="75">
        <v>14058</v>
      </c>
      <c r="F131" s="76">
        <v>0.18281405605349269</v>
      </c>
      <c r="G131" s="77">
        <v>0.88287937743190659</v>
      </c>
      <c r="H131" s="77">
        <v>7.1206225680933849E-2</v>
      </c>
      <c r="I131" s="78">
        <v>1872</v>
      </c>
      <c r="J131" s="78">
        <v>397</v>
      </c>
      <c r="K131" s="78">
        <v>92</v>
      </c>
      <c r="L131" s="78">
        <v>78</v>
      </c>
      <c r="M131" s="78">
        <v>105</v>
      </c>
      <c r="N131" s="78">
        <v>26</v>
      </c>
      <c r="O131" s="78">
        <v>2127</v>
      </c>
      <c r="P131" s="78">
        <v>0</v>
      </c>
      <c r="Q131" s="78">
        <v>0</v>
      </c>
      <c r="R131" s="78">
        <v>0</v>
      </c>
      <c r="S131" s="78">
        <v>443</v>
      </c>
      <c r="T131" s="78">
        <v>0</v>
      </c>
      <c r="U131" s="78">
        <v>0</v>
      </c>
    </row>
    <row r="132" spans="1:21" x14ac:dyDescent="0.35">
      <c r="A132" s="74" t="s">
        <v>52</v>
      </c>
      <c r="B132" s="74" t="s">
        <v>317</v>
      </c>
      <c r="C132" s="74" t="s">
        <v>318</v>
      </c>
      <c r="D132" s="75">
        <v>48</v>
      </c>
      <c r="E132" s="75">
        <v>5115</v>
      </c>
      <c r="F132" s="76">
        <v>9.3841642228739003E-3</v>
      </c>
      <c r="G132" s="77">
        <v>0.9375</v>
      </c>
      <c r="H132" s="77">
        <v>2.0833333333333332E-2</v>
      </c>
      <c r="I132" s="78">
        <v>45</v>
      </c>
      <c r="J132" s="78">
        <v>0</v>
      </c>
      <c r="K132" s="78">
        <v>2</v>
      </c>
      <c r="L132" s="78">
        <v>0</v>
      </c>
      <c r="M132" s="78">
        <v>1</v>
      </c>
      <c r="N132" s="78">
        <v>0</v>
      </c>
      <c r="O132" s="78">
        <v>0</v>
      </c>
      <c r="P132" s="78">
        <v>45</v>
      </c>
      <c r="Q132" s="78">
        <v>3</v>
      </c>
      <c r="R132" s="78">
        <v>0</v>
      </c>
      <c r="S132" s="78">
        <v>0</v>
      </c>
      <c r="T132" s="78">
        <v>0</v>
      </c>
      <c r="U132" s="78">
        <v>0</v>
      </c>
    </row>
    <row r="133" spans="1:21" x14ac:dyDescent="0.35">
      <c r="A133" s="74" t="s">
        <v>52</v>
      </c>
      <c r="B133" s="74" t="s">
        <v>319</v>
      </c>
      <c r="C133" s="74" t="s">
        <v>320</v>
      </c>
      <c r="D133" s="75">
        <v>2663</v>
      </c>
      <c r="E133" s="75">
        <v>16550</v>
      </c>
      <c r="F133" s="76">
        <v>0.16090634441087615</v>
      </c>
      <c r="G133" s="77">
        <v>0.79684566278633118</v>
      </c>
      <c r="H133" s="77">
        <v>0.13368381524596321</v>
      </c>
      <c r="I133" s="78">
        <v>1648</v>
      </c>
      <c r="J133" s="78">
        <v>474</v>
      </c>
      <c r="K133" s="78">
        <v>146</v>
      </c>
      <c r="L133" s="78">
        <v>133</v>
      </c>
      <c r="M133" s="78">
        <v>223</v>
      </c>
      <c r="N133" s="78">
        <v>39</v>
      </c>
      <c r="O133" s="78">
        <v>1750</v>
      </c>
      <c r="P133" s="78">
        <v>0</v>
      </c>
      <c r="Q133" s="78">
        <v>0</v>
      </c>
      <c r="R133" s="78">
        <v>0</v>
      </c>
      <c r="S133" s="78">
        <v>898</v>
      </c>
      <c r="T133" s="78">
        <v>15</v>
      </c>
      <c r="U133" s="78">
        <v>0</v>
      </c>
    </row>
    <row r="134" spans="1:21" x14ac:dyDescent="0.35">
      <c r="A134" s="74" t="s">
        <v>52</v>
      </c>
      <c r="B134" s="74" t="s">
        <v>321</v>
      </c>
      <c r="C134" s="74" t="s">
        <v>322</v>
      </c>
      <c r="D134" s="75">
        <v>586</v>
      </c>
      <c r="E134" s="75">
        <v>10169</v>
      </c>
      <c r="F134" s="76">
        <v>5.7626118595732127E-2</v>
      </c>
      <c r="G134" s="77">
        <v>0.9078498293515358</v>
      </c>
      <c r="H134" s="77">
        <v>3.9249146757679182E-2</v>
      </c>
      <c r="I134" s="78">
        <v>364</v>
      </c>
      <c r="J134" s="78">
        <v>168</v>
      </c>
      <c r="K134" s="78">
        <v>16</v>
      </c>
      <c r="L134" s="78">
        <v>8</v>
      </c>
      <c r="M134" s="78">
        <v>15</v>
      </c>
      <c r="N134" s="78">
        <v>15</v>
      </c>
      <c r="O134" s="78">
        <v>0</v>
      </c>
      <c r="P134" s="78">
        <v>0</v>
      </c>
      <c r="Q134" s="78">
        <v>586</v>
      </c>
      <c r="R134" s="78">
        <v>0</v>
      </c>
      <c r="S134" s="78">
        <v>0</v>
      </c>
      <c r="T134" s="78">
        <v>0</v>
      </c>
      <c r="U134" s="78">
        <v>0</v>
      </c>
    </row>
    <row r="135" spans="1:21" x14ac:dyDescent="0.35">
      <c r="A135" s="74" t="s">
        <v>52</v>
      </c>
      <c r="B135" s="74" t="s">
        <v>323</v>
      </c>
      <c r="C135" s="74" t="s">
        <v>324</v>
      </c>
      <c r="D135" s="75">
        <v>1118</v>
      </c>
      <c r="E135" s="75">
        <v>11641</v>
      </c>
      <c r="F135" s="76">
        <v>9.6039859118632415E-2</v>
      </c>
      <c r="G135" s="77">
        <v>0.91502683363148485</v>
      </c>
      <c r="H135" s="77">
        <v>2.2361359570661897E-2</v>
      </c>
      <c r="I135" s="78">
        <v>788</v>
      </c>
      <c r="J135" s="78">
        <v>235</v>
      </c>
      <c r="K135" s="78">
        <v>35</v>
      </c>
      <c r="L135" s="78">
        <v>16</v>
      </c>
      <c r="M135" s="78">
        <v>9</v>
      </c>
      <c r="N135" s="78">
        <v>35</v>
      </c>
      <c r="O135" s="78">
        <v>0</v>
      </c>
      <c r="P135" s="78">
        <v>0</v>
      </c>
      <c r="Q135" s="78">
        <v>1111</v>
      </c>
      <c r="R135" s="78">
        <v>0</v>
      </c>
      <c r="S135" s="78">
        <v>0</v>
      </c>
      <c r="T135" s="78">
        <v>7</v>
      </c>
      <c r="U135" s="78">
        <v>0</v>
      </c>
    </row>
    <row r="136" spans="1:21" x14ac:dyDescent="0.35">
      <c r="A136" s="74" t="s">
        <v>52</v>
      </c>
      <c r="B136" s="74" t="s">
        <v>325</v>
      </c>
      <c r="C136" s="74" t="s">
        <v>326</v>
      </c>
      <c r="D136" s="75">
        <v>1048</v>
      </c>
      <c r="E136" s="75">
        <v>8088</v>
      </c>
      <c r="F136" s="76">
        <v>0.12957467853610286</v>
      </c>
      <c r="G136" s="77">
        <v>0.72900763358778631</v>
      </c>
      <c r="H136" s="77">
        <v>0.1784351145038168</v>
      </c>
      <c r="I136" s="78">
        <v>565</v>
      </c>
      <c r="J136" s="78">
        <v>199</v>
      </c>
      <c r="K136" s="78">
        <v>79</v>
      </c>
      <c r="L136" s="78">
        <v>55</v>
      </c>
      <c r="M136" s="78">
        <v>132</v>
      </c>
      <c r="N136" s="78">
        <v>18</v>
      </c>
      <c r="O136" s="78">
        <v>672</v>
      </c>
      <c r="P136" s="78">
        <v>0</v>
      </c>
      <c r="Q136" s="78">
        <v>0</v>
      </c>
      <c r="R136" s="78">
        <v>0</v>
      </c>
      <c r="S136" s="78">
        <v>371</v>
      </c>
      <c r="T136" s="78">
        <v>5</v>
      </c>
      <c r="U136" s="78">
        <v>0</v>
      </c>
    </row>
    <row r="137" spans="1:21" x14ac:dyDescent="0.35">
      <c r="A137" s="74" t="s">
        <v>52</v>
      </c>
      <c r="B137" s="74" t="s">
        <v>327</v>
      </c>
      <c r="C137" s="74" t="s">
        <v>328</v>
      </c>
      <c r="D137" s="75">
        <v>171</v>
      </c>
      <c r="E137" s="75">
        <v>1325</v>
      </c>
      <c r="F137" s="76">
        <v>0.12905660377358491</v>
      </c>
      <c r="G137" s="77">
        <v>0.94736842105263153</v>
      </c>
      <c r="H137" s="77">
        <v>2.9239766081871343E-2</v>
      </c>
      <c r="I137" s="78">
        <v>151</v>
      </c>
      <c r="J137" s="78">
        <v>11</v>
      </c>
      <c r="K137" s="78">
        <v>1</v>
      </c>
      <c r="L137" s="78">
        <v>2</v>
      </c>
      <c r="M137" s="78">
        <v>3</v>
      </c>
      <c r="N137" s="78">
        <v>3</v>
      </c>
      <c r="O137" s="78">
        <v>131</v>
      </c>
      <c r="P137" s="78">
        <v>0</v>
      </c>
      <c r="Q137" s="78">
        <v>40</v>
      </c>
      <c r="R137" s="78">
        <v>0</v>
      </c>
      <c r="S137" s="78">
        <v>0</v>
      </c>
      <c r="T137" s="78">
        <v>0</v>
      </c>
      <c r="U137" s="78">
        <v>0</v>
      </c>
    </row>
    <row r="138" spans="1:21" x14ac:dyDescent="0.35">
      <c r="A138" s="74" t="s">
        <v>52</v>
      </c>
      <c r="B138" s="74" t="s">
        <v>329</v>
      </c>
      <c r="C138" s="74" t="s">
        <v>330</v>
      </c>
      <c r="D138" s="75">
        <v>884</v>
      </c>
      <c r="E138" s="75">
        <v>4422</v>
      </c>
      <c r="F138" s="76">
        <v>0.19990954319312529</v>
      </c>
      <c r="G138" s="77">
        <v>0.86425339366515841</v>
      </c>
      <c r="H138" s="77">
        <v>8.8235294117647065E-2</v>
      </c>
      <c r="I138" s="78">
        <v>621</v>
      </c>
      <c r="J138" s="78">
        <v>143</v>
      </c>
      <c r="K138" s="78">
        <v>35</v>
      </c>
      <c r="L138" s="78">
        <v>30</v>
      </c>
      <c r="M138" s="78">
        <v>48</v>
      </c>
      <c r="N138" s="78">
        <v>7</v>
      </c>
      <c r="O138" s="78">
        <v>763</v>
      </c>
      <c r="P138" s="78">
        <v>0</v>
      </c>
      <c r="Q138" s="78">
        <v>11</v>
      </c>
      <c r="R138" s="78">
        <v>0</v>
      </c>
      <c r="S138" s="78">
        <v>110</v>
      </c>
      <c r="T138" s="78">
        <v>0</v>
      </c>
      <c r="U138" s="78">
        <v>0</v>
      </c>
    </row>
    <row r="139" spans="1:21" x14ac:dyDescent="0.35">
      <c r="A139" s="74" t="s">
        <v>52</v>
      </c>
      <c r="B139" s="74" t="s">
        <v>331</v>
      </c>
      <c r="C139" s="74" t="s">
        <v>332</v>
      </c>
      <c r="D139" s="75">
        <v>1001</v>
      </c>
      <c r="E139" s="75">
        <v>7407</v>
      </c>
      <c r="F139" s="76">
        <v>0.13514243283380586</v>
      </c>
      <c r="G139" s="77">
        <v>0.91008991008991014</v>
      </c>
      <c r="H139" s="77">
        <v>4.4955044955044952E-2</v>
      </c>
      <c r="I139" s="78">
        <v>782</v>
      </c>
      <c r="J139" s="78">
        <v>129</v>
      </c>
      <c r="K139" s="78">
        <v>40</v>
      </c>
      <c r="L139" s="78">
        <v>24</v>
      </c>
      <c r="M139" s="78">
        <v>21</v>
      </c>
      <c r="N139" s="78">
        <v>5</v>
      </c>
      <c r="O139" s="78">
        <v>514</v>
      </c>
      <c r="P139" s="78">
        <v>0</v>
      </c>
      <c r="Q139" s="78">
        <v>467</v>
      </c>
      <c r="R139" s="78">
        <v>0</v>
      </c>
      <c r="S139" s="78">
        <v>18</v>
      </c>
      <c r="T139" s="78">
        <v>2</v>
      </c>
      <c r="U139" s="78">
        <v>0</v>
      </c>
    </row>
    <row r="140" spans="1:21" x14ac:dyDescent="0.35">
      <c r="A140" s="79" t="s">
        <v>52</v>
      </c>
      <c r="B140" s="79" t="s">
        <v>333</v>
      </c>
      <c r="C140" s="79" t="s">
        <v>334</v>
      </c>
      <c r="D140" s="80">
        <v>3041</v>
      </c>
      <c r="E140" s="80">
        <v>9942</v>
      </c>
      <c r="F140" s="81">
        <v>0.30587406960370145</v>
      </c>
      <c r="G140" s="82">
        <v>0.92535350213745482</v>
      </c>
      <c r="H140" s="82">
        <v>3.4856954949029927E-2</v>
      </c>
      <c r="I140" s="83">
        <v>2277</v>
      </c>
      <c r="J140" s="83">
        <v>537</v>
      </c>
      <c r="K140" s="83">
        <v>78</v>
      </c>
      <c r="L140" s="83">
        <v>33</v>
      </c>
      <c r="M140" s="83">
        <v>73</v>
      </c>
      <c r="N140" s="83">
        <v>43</v>
      </c>
      <c r="O140" s="83">
        <v>790</v>
      </c>
      <c r="P140" s="83">
        <v>11</v>
      </c>
      <c r="Q140" s="83">
        <v>2238</v>
      </c>
      <c r="R140" s="83">
        <v>0</v>
      </c>
      <c r="S140" s="83">
        <v>0</v>
      </c>
      <c r="T140" s="83">
        <v>2</v>
      </c>
      <c r="U140" s="83">
        <v>0</v>
      </c>
    </row>
    <row r="141" spans="1:21" x14ac:dyDescent="0.35">
      <c r="A141" s="13"/>
      <c r="B141" s="13"/>
      <c r="C141" s="13"/>
      <c r="D141" s="13"/>
      <c r="E141" s="13"/>
      <c r="F141" s="13"/>
      <c r="G141" s="13"/>
      <c r="H141" s="13"/>
      <c r="I141" s="13"/>
      <c r="J141" s="13"/>
      <c r="K141" s="13"/>
      <c r="L141" s="13"/>
      <c r="M141" s="13"/>
      <c r="N141" s="13"/>
      <c r="O141" s="13"/>
      <c r="P141" s="13"/>
      <c r="Q141" s="13"/>
      <c r="R141" s="13"/>
      <c r="S141" s="13"/>
      <c r="T141" s="13"/>
      <c r="U141" s="13"/>
    </row>
    <row r="142" spans="1:21" x14ac:dyDescent="0.35">
      <c r="A142" s="13"/>
      <c r="B142" s="13"/>
      <c r="C142" s="13"/>
      <c r="D142" s="13"/>
      <c r="E142" s="13"/>
      <c r="F142" s="13"/>
      <c r="G142" s="13"/>
      <c r="H142" s="13"/>
      <c r="I142" s="13"/>
      <c r="J142" s="13"/>
      <c r="K142" s="13"/>
      <c r="L142" s="13"/>
      <c r="M142" s="13"/>
      <c r="N142" s="13"/>
      <c r="O142" s="13"/>
      <c r="P142" s="13"/>
      <c r="Q142" s="13"/>
      <c r="R142" s="13"/>
      <c r="S142" s="13"/>
      <c r="T142" s="13"/>
      <c r="U142" s="13"/>
    </row>
    <row r="143" spans="1:21" x14ac:dyDescent="0.35">
      <c r="A143" s="13"/>
      <c r="B143" s="13"/>
      <c r="C143" s="13"/>
      <c r="D143" s="13"/>
      <c r="E143" s="13"/>
      <c r="F143" s="13"/>
      <c r="G143" s="13"/>
      <c r="H143" s="13"/>
      <c r="I143" s="13"/>
      <c r="J143" s="13"/>
      <c r="K143" s="13"/>
      <c r="L143" s="13"/>
      <c r="M143" s="13"/>
      <c r="N143" s="13"/>
      <c r="O143" s="13"/>
      <c r="P143" s="13"/>
      <c r="Q143" s="13"/>
      <c r="R143" s="13"/>
      <c r="S143" s="13"/>
      <c r="T143" s="13"/>
      <c r="U143" s="13"/>
    </row>
    <row r="144" spans="1:21" x14ac:dyDescent="0.35">
      <c r="A144" s="13"/>
      <c r="B144" s="13"/>
      <c r="C144" s="13"/>
      <c r="D144" s="13"/>
      <c r="E144" s="13"/>
      <c r="F144" s="13"/>
      <c r="G144" s="13"/>
      <c r="H144" s="13"/>
      <c r="I144" s="13"/>
      <c r="J144" s="13"/>
      <c r="K144" s="13"/>
      <c r="L144" s="13"/>
      <c r="M144" s="13"/>
      <c r="N144" s="13"/>
      <c r="O144" s="13"/>
      <c r="P144" s="13"/>
      <c r="Q144" s="13"/>
      <c r="R144" s="13"/>
      <c r="S144" s="13"/>
      <c r="T144" s="13"/>
      <c r="U144" s="13"/>
    </row>
    <row r="145" spans="1:21" x14ac:dyDescent="0.35">
      <c r="A145" s="13"/>
      <c r="B145" s="13"/>
      <c r="C145" s="13"/>
      <c r="D145" s="13"/>
      <c r="E145" s="13"/>
      <c r="F145" s="13"/>
      <c r="G145" s="13"/>
      <c r="H145" s="13"/>
      <c r="I145" s="13"/>
      <c r="J145" s="13"/>
      <c r="K145" s="13"/>
      <c r="L145" s="13"/>
      <c r="M145" s="13"/>
      <c r="N145" s="13"/>
      <c r="O145" s="13"/>
      <c r="P145" s="13"/>
      <c r="Q145" s="13"/>
      <c r="R145" s="13"/>
      <c r="S145" s="13"/>
      <c r="T145" s="13"/>
      <c r="U145" s="13"/>
    </row>
    <row r="146" spans="1:21" x14ac:dyDescent="0.35">
      <c r="A146" s="13"/>
      <c r="B146" s="13"/>
      <c r="C146" s="13"/>
      <c r="D146" s="13"/>
      <c r="E146" s="13"/>
      <c r="F146" s="13"/>
      <c r="G146" s="13"/>
      <c r="H146" s="13"/>
      <c r="I146" s="13"/>
      <c r="J146" s="13"/>
      <c r="K146" s="13"/>
      <c r="L146" s="13"/>
      <c r="M146" s="13"/>
      <c r="N146" s="13"/>
      <c r="O146" s="13"/>
      <c r="P146" s="13"/>
      <c r="Q146" s="13"/>
      <c r="R146" s="13"/>
      <c r="S146" s="13"/>
      <c r="T146" s="13"/>
      <c r="U146" s="13"/>
    </row>
    <row r="147" spans="1:21" x14ac:dyDescent="0.35">
      <c r="A147" s="13"/>
      <c r="B147" s="13"/>
      <c r="C147" s="13"/>
      <c r="D147" s="13"/>
      <c r="E147" s="13"/>
      <c r="F147" s="13"/>
      <c r="G147" s="13"/>
      <c r="H147" s="13"/>
      <c r="I147" s="13"/>
      <c r="J147" s="13"/>
      <c r="K147" s="13"/>
      <c r="L147" s="13"/>
      <c r="M147" s="13"/>
      <c r="N147" s="13"/>
      <c r="O147" s="13"/>
      <c r="P147" s="13"/>
      <c r="Q147" s="13"/>
      <c r="R147" s="13"/>
      <c r="S147" s="13"/>
      <c r="T147" s="13"/>
      <c r="U147" s="13"/>
    </row>
  </sheetData>
  <mergeCells count="10">
    <mergeCell ref="G3:G4"/>
    <mergeCell ref="H3:H4"/>
    <mergeCell ref="I3:N3"/>
    <mergeCell ref="O3:U3"/>
    <mergeCell ref="A3:A4"/>
    <mergeCell ref="B3:B4"/>
    <mergeCell ref="C3:C4"/>
    <mergeCell ref="D3:D4"/>
    <mergeCell ref="E3:E4"/>
    <mergeCell ref="F3:F4"/>
  </mergeCells>
  <pageMargins left="0.25" right="0.25" top="0.75" bottom="0.75" header="0.3" footer="0.3"/>
  <pageSetup paperSize="9" scale="40" fitToHeight="0"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Sites">
              <controlPr defaultSize="0" autoFill="0" autoPict="0" macro="[0]!Sitessheet">
                <anchor>
                  <from>
                    <xdr:col>6</xdr:col>
                    <xdr:colOff>850900</xdr:colOff>
                    <xdr:row>1</xdr:row>
                    <xdr:rowOff>69850</xdr:rowOff>
                  </from>
                  <to>
                    <xdr:col>7</xdr:col>
                    <xdr:colOff>603250</xdr:colOff>
                    <xdr:row>1</xdr:row>
                    <xdr:rowOff>323850</xdr:rowOff>
                  </to>
                </anchor>
              </controlPr>
            </control>
          </mc:Choice>
        </mc:AlternateContent>
        <mc:AlternateContent xmlns:mc="http://schemas.openxmlformats.org/markup-compatibility/2006">
          <mc:Choice Requires="x14">
            <control shapeId="4098" r:id="rId5" name="Drop Down Sort">
              <controlPr defaultSize="0" autoLine="0" autoPict="0">
                <anchor>
                  <from>
                    <xdr:col>2</xdr:col>
                    <xdr:colOff>787400</xdr:colOff>
                    <xdr:row>1</xdr:row>
                    <xdr:rowOff>514350</xdr:rowOff>
                  </from>
                  <to>
                    <xdr:col>2</xdr:col>
                    <xdr:colOff>2584450</xdr:colOff>
                    <xdr:row>1</xdr:row>
                    <xdr:rowOff>774700</xdr:rowOff>
                  </to>
                </anchor>
              </controlPr>
            </control>
          </mc:Choice>
        </mc:AlternateContent>
        <mc:AlternateContent xmlns:mc="http://schemas.openxmlformats.org/markup-compatibility/2006">
          <mc:Choice Requires="x14">
            <control shapeId="4099" r:id="rId6" name="Region Code">
              <controlPr defaultSize="0" autoLine="0" autoPict="0" macro="[0]!FilterListsRegionCode">
                <anchor>
                  <from>
                    <xdr:col>6</xdr:col>
                    <xdr:colOff>533400</xdr:colOff>
                    <xdr:row>1</xdr:row>
                    <xdr:rowOff>438150</xdr:rowOff>
                  </from>
                  <to>
                    <xdr:col>7</xdr:col>
                    <xdr:colOff>209550</xdr:colOff>
                    <xdr:row>1</xdr:row>
                    <xdr:rowOff>660400</xdr:rowOff>
                  </to>
                </anchor>
              </controlPr>
            </control>
          </mc:Choice>
        </mc:AlternateContent>
        <mc:AlternateContent xmlns:mc="http://schemas.openxmlformats.org/markup-compatibility/2006">
          <mc:Choice Requires="x14">
            <control shapeId="4100" r:id="rId7" name="Trust Code">
              <controlPr defaultSize="0" autoLine="0" autoPict="0" macro="[0]!FilterListsTrustCode">
                <anchor>
                  <from>
                    <xdr:col>6</xdr:col>
                    <xdr:colOff>533400</xdr:colOff>
                    <xdr:row>1</xdr:row>
                    <xdr:rowOff>698500</xdr:rowOff>
                  </from>
                  <to>
                    <xdr:col>7</xdr:col>
                    <xdr:colOff>209550</xdr:colOff>
                    <xdr:row>1</xdr:row>
                    <xdr:rowOff>914400</xdr:rowOff>
                  </to>
                </anchor>
              </controlPr>
            </control>
          </mc:Choice>
        </mc:AlternateContent>
        <mc:AlternateContent xmlns:mc="http://schemas.openxmlformats.org/markup-compatibility/2006">
          <mc:Choice Requires="x14">
            <control shapeId="4101" r:id="rId8" name="Sort">
              <controlPr defaultSize="0" autoFill="0" autoPict="0" macro="[0]!Sort">
                <anchor>
                  <from>
                    <xdr:col>2</xdr:col>
                    <xdr:colOff>2813050</xdr:colOff>
                    <xdr:row>1</xdr:row>
                    <xdr:rowOff>679450</xdr:rowOff>
                  </from>
                  <to>
                    <xdr:col>3</xdr:col>
                    <xdr:colOff>762000</xdr:colOff>
                    <xdr:row>1</xdr:row>
                    <xdr:rowOff>933450</xdr:rowOff>
                  </to>
                </anchor>
              </controlPr>
            </control>
          </mc:Choice>
        </mc:AlternateContent>
        <mc:AlternateContent xmlns:mc="http://schemas.openxmlformats.org/markup-compatibility/2006">
          <mc:Choice Requires="x14">
            <control shapeId="4102" r:id="rId9" name="Low">
              <controlPr defaultSize="0" autoFill="0" autoLine="0" autoPict="0">
                <anchor>
                  <from>
                    <xdr:col>2</xdr:col>
                    <xdr:colOff>812800</xdr:colOff>
                    <xdr:row>1</xdr:row>
                    <xdr:rowOff>800100</xdr:rowOff>
                  </from>
                  <to>
                    <xdr:col>2</xdr:col>
                    <xdr:colOff>1428750</xdr:colOff>
                    <xdr:row>1</xdr:row>
                    <xdr:rowOff>1162050</xdr:rowOff>
                  </to>
                </anchor>
              </controlPr>
            </control>
          </mc:Choice>
        </mc:AlternateContent>
        <mc:AlternateContent xmlns:mc="http://schemas.openxmlformats.org/markup-compatibility/2006">
          <mc:Choice Requires="x14">
            <control shapeId="4103" r:id="rId10" name="High">
              <controlPr defaultSize="0" autoFill="0" autoLine="0" autoPict="0">
                <anchor>
                  <from>
                    <xdr:col>2</xdr:col>
                    <xdr:colOff>1739900</xdr:colOff>
                    <xdr:row>1</xdr:row>
                    <xdr:rowOff>800100</xdr:rowOff>
                  </from>
                  <to>
                    <xdr:col>2</xdr:col>
                    <xdr:colOff>2514600</xdr:colOff>
                    <xdr:row>1</xdr:row>
                    <xdr:rowOff>1162050</xdr:rowOff>
                  </to>
                </anchor>
              </controlPr>
            </control>
          </mc:Choice>
        </mc:AlternateContent>
        <mc:AlternateContent xmlns:mc="http://schemas.openxmlformats.org/markup-compatibility/2006">
          <mc:Choice Requires="x14">
            <control shapeId="4104" r:id="rId11" name="Notes">
              <controlPr defaultSize="0" autoFill="0" autoPict="0" macro="[0]!notessheet">
                <anchor>
                  <from>
                    <xdr:col>1</xdr:col>
                    <xdr:colOff>330200</xdr:colOff>
                    <xdr:row>1</xdr:row>
                    <xdr:rowOff>69850</xdr:rowOff>
                  </from>
                  <to>
                    <xdr:col>2</xdr:col>
                    <xdr:colOff>603250</xdr:colOff>
                    <xdr:row>1</xdr:row>
                    <xdr:rowOff>323850</xdr:rowOff>
                  </to>
                </anchor>
              </controlPr>
            </control>
          </mc:Choice>
        </mc:AlternateContent>
        <mc:AlternateContent xmlns:mc="http://schemas.openxmlformats.org/markup-compatibility/2006">
          <mc:Choice Requires="x14">
            <control shapeId="4105" r:id="rId12" name="Trust name">
              <controlPr defaultSize="0" autoLine="0" autoPict="0" macro="[0]!FilterListsTrustName">
                <anchor>
                  <from>
                    <xdr:col>7</xdr:col>
                    <xdr:colOff>254000</xdr:colOff>
                    <xdr:row>1</xdr:row>
                    <xdr:rowOff>698500</xdr:rowOff>
                  </from>
                  <to>
                    <xdr:col>9</xdr:col>
                    <xdr:colOff>641350</xdr:colOff>
                    <xdr:row>1</xdr:row>
                    <xdr:rowOff>914400</xdr:rowOff>
                  </to>
                </anchor>
              </controlPr>
            </control>
          </mc:Choice>
        </mc:AlternateContent>
        <mc:AlternateContent xmlns:mc="http://schemas.openxmlformats.org/markup-compatibility/2006">
          <mc:Choice Requires="x14">
            <control shapeId="4106" r:id="rId13" name="Region name">
              <controlPr defaultSize="0" autoLine="0" autoPict="0" macro="[0]!FilterListsRegionName">
                <anchor>
                  <from>
                    <xdr:col>7</xdr:col>
                    <xdr:colOff>254000</xdr:colOff>
                    <xdr:row>1</xdr:row>
                    <xdr:rowOff>438150</xdr:rowOff>
                  </from>
                  <to>
                    <xdr:col>9</xdr:col>
                    <xdr:colOff>641350</xdr:colOff>
                    <xdr:row>1</xdr:row>
                    <xdr:rowOff>660400</xdr:rowOff>
                  </to>
                </anchor>
              </controlPr>
            </control>
          </mc:Choice>
        </mc:AlternateContent>
        <mc:AlternateContent xmlns:mc="http://schemas.openxmlformats.org/markup-compatibility/2006">
          <mc:Choice Requires="x14">
            <control shapeId="4107" r:id="rId14" name="Reset">
              <controlPr defaultSize="0" autoFill="0" autoPict="0" macro="[0]!Reset">
                <anchor>
                  <from>
                    <xdr:col>9</xdr:col>
                    <xdr:colOff>844550</xdr:colOff>
                    <xdr:row>1</xdr:row>
                    <xdr:rowOff>850900</xdr:rowOff>
                  </from>
                  <to>
                    <xdr:col>10</xdr:col>
                    <xdr:colOff>666750</xdr:colOff>
                    <xdr:row>1</xdr:row>
                    <xdr:rowOff>1104900</xdr:rowOff>
                  </to>
                </anchor>
              </controlPr>
            </control>
          </mc:Choice>
        </mc:AlternateContent>
        <mc:AlternateContent xmlns:mc="http://schemas.openxmlformats.org/markup-compatibility/2006">
          <mc:Choice Requires="x14">
            <control shapeId="4108" r:id="rId15" name="Filter">
              <controlPr defaultSize="0" autoFill="0" autoPict="0" macro="[0]!Filter">
                <anchor>
                  <from>
                    <xdr:col>9</xdr:col>
                    <xdr:colOff>844550</xdr:colOff>
                    <xdr:row>1</xdr:row>
                    <xdr:rowOff>514350</xdr:rowOff>
                  </from>
                  <to>
                    <xdr:col>10</xdr:col>
                    <xdr:colOff>666750</xdr:colOff>
                    <xdr:row>1</xdr:row>
                    <xdr:rowOff>774700</xdr:rowOff>
                  </to>
                </anchor>
              </controlPr>
            </control>
          </mc:Choice>
        </mc:AlternateContent>
        <mc:AlternateContent xmlns:mc="http://schemas.openxmlformats.org/markup-compatibility/2006">
          <mc:Choice Requires="x14">
            <control shapeId="4109" r:id="rId16" name="Regions">
              <controlPr defaultSize="0" autoFill="0" autoPict="0" macro="[0]!regionsheet">
                <anchor>
                  <from>
                    <xdr:col>3</xdr:col>
                    <xdr:colOff>704850</xdr:colOff>
                    <xdr:row>1</xdr:row>
                    <xdr:rowOff>69850</xdr:rowOff>
                  </from>
                  <to>
                    <xdr:col>5</xdr:col>
                    <xdr:colOff>527050</xdr:colOff>
                    <xdr:row>1</xdr:row>
                    <xdr:rowOff>323850</xdr:rowOff>
                  </to>
                </anchor>
              </controlPr>
            </control>
          </mc:Choice>
        </mc:AlternateContent>
        <mc:AlternateContent xmlns:mc="http://schemas.openxmlformats.org/markup-compatibility/2006">
          <mc:Choice Requires="x14">
            <control shapeId="4110" r:id="rId17" name="Trusts">
              <controlPr defaultSize="0" autoFill="0" autoPict="0" macro="[0]!trustssheet">
                <anchor>
                  <from>
                    <xdr:col>5</xdr:col>
                    <xdr:colOff>666750</xdr:colOff>
                    <xdr:row>1</xdr:row>
                    <xdr:rowOff>69850</xdr:rowOff>
                  </from>
                  <to>
                    <xdr:col>6</xdr:col>
                    <xdr:colOff>717550</xdr:colOff>
                    <xdr:row>1</xdr:row>
                    <xdr:rowOff>323850</xdr:rowOff>
                  </to>
                </anchor>
              </controlPr>
            </control>
          </mc:Choice>
        </mc:AlternateContent>
        <mc:AlternateContent xmlns:mc="http://schemas.openxmlformats.org/markup-compatibility/2006">
          <mc:Choice Requires="x14">
            <control shapeId="4111" r:id="rId18" name="Summary">
              <controlPr defaultSize="0" autoFill="0" autoPict="0" macro="[0]!summarysheet">
                <anchor>
                  <from>
                    <xdr:col>2</xdr:col>
                    <xdr:colOff>787400</xdr:colOff>
                    <xdr:row>1</xdr:row>
                    <xdr:rowOff>69850</xdr:rowOff>
                  </from>
                  <to>
                    <xdr:col>2</xdr:col>
                    <xdr:colOff>1714500</xdr:colOff>
                    <xdr:row>1</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3" tint="0.59999389629810485"/>
  </sheetPr>
  <dimension ref="A1:S253"/>
  <sheetViews>
    <sheetView zoomScaleNormal="100" workbookViewId="0"/>
  </sheetViews>
  <sheetFormatPr defaultColWidth="9.08984375" defaultRowHeight="14.5" x14ac:dyDescent="0.35"/>
  <cols>
    <col min="1" max="2" width="9.36328125" style="52" customWidth="1"/>
    <col min="3" max="3" width="37.08984375" style="52" customWidth="1"/>
    <col min="4" max="4" width="10.54296875" style="52" customWidth="1"/>
    <col min="5" max="5" width="34.453125" style="52" customWidth="1"/>
    <col min="6" max="8" width="12.6328125" style="52" customWidth="1"/>
    <col min="9" max="9" width="17.08984375" style="52" customWidth="1"/>
    <col min="10" max="10" width="18" style="52" customWidth="1"/>
    <col min="11" max="11" width="19.36328125" style="52" customWidth="1"/>
    <col min="12" max="14" width="13.6328125" style="52" customWidth="1"/>
    <col min="15" max="15" width="21.08984375" style="52" customWidth="1"/>
    <col min="16" max="16" width="13.6328125" style="52" customWidth="1"/>
    <col min="17" max="19" width="9.08984375" style="52"/>
    <col min="20" max="16384" width="9.08984375" style="8"/>
  </cols>
  <sheetData>
    <row r="1" spans="1:19" ht="6" customHeight="1" x14ac:dyDescent="0.35">
      <c r="A1" s="8"/>
      <c r="B1" s="8"/>
      <c r="C1" s="8"/>
      <c r="D1" s="8"/>
      <c r="E1" s="8"/>
      <c r="F1" s="32"/>
      <c r="G1" s="8"/>
      <c r="H1" s="8"/>
      <c r="I1" s="8"/>
      <c r="J1" s="8"/>
      <c r="K1" s="8"/>
      <c r="L1" s="8"/>
      <c r="M1" s="8"/>
      <c r="N1" s="8"/>
      <c r="O1" s="8"/>
      <c r="P1" s="8"/>
      <c r="Q1" s="8"/>
      <c r="R1" s="8"/>
      <c r="S1" s="8"/>
    </row>
    <row r="2" spans="1:19" ht="105" customHeight="1" x14ac:dyDescent="0.35">
      <c r="A2" s="8"/>
      <c r="B2" s="8"/>
      <c r="C2" s="8"/>
      <c r="D2" s="8"/>
      <c r="E2" s="8"/>
      <c r="F2" s="32"/>
      <c r="G2" s="8"/>
      <c r="H2" s="8"/>
      <c r="I2" s="32"/>
      <c r="J2" s="32"/>
      <c r="K2" s="32"/>
      <c r="L2" s="32"/>
      <c r="M2" s="8"/>
      <c r="N2" s="8"/>
      <c r="O2" s="8"/>
      <c r="P2" s="8"/>
      <c r="Q2" s="8"/>
      <c r="R2" s="8"/>
      <c r="S2" s="8"/>
    </row>
    <row r="3" spans="1:19" ht="15.75" customHeight="1" x14ac:dyDescent="0.35">
      <c r="A3" s="101" t="s">
        <v>13</v>
      </c>
      <c r="B3" s="101" t="s">
        <v>56</v>
      </c>
      <c r="C3" s="101" t="s">
        <v>57</v>
      </c>
      <c r="D3" s="101" t="s">
        <v>335</v>
      </c>
      <c r="E3" s="101" t="s">
        <v>336</v>
      </c>
      <c r="F3" s="101" t="s">
        <v>15</v>
      </c>
      <c r="G3" s="101" t="s">
        <v>16</v>
      </c>
      <c r="H3" s="101" t="s">
        <v>6</v>
      </c>
      <c r="I3" s="101" t="s">
        <v>17</v>
      </c>
      <c r="J3" s="101" t="s">
        <v>18</v>
      </c>
      <c r="K3" s="107" t="s">
        <v>19</v>
      </c>
      <c r="L3" s="107"/>
      <c r="M3" s="107"/>
      <c r="N3" s="107"/>
      <c r="O3" s="107"/>
      <c r="P3" s="107"/>
      <c r="Q3" s="8"/>
      <c r="R3" s="8"/>
      <c r="S3" s="8"/>
    </row>
    <row r="4" spans="1:19" ht="31.5" customHeight="1" x14ac:dyDescent="0.35">
      <c r="A4" s="108"/>
      <c r="B4" s="108"/>
      <c r="C4" s="108"/>
      <c r="D4" s="108"/>
      <c r="E4" s="108"/>
      <c r="F4" s="108"/>
      <c r="G4" s="108"/>
      <c r="H4" s="108"/>
      <c r="I4" s="108"/>
      <c r="J4" s="108"/>
      <c r="K4" s="33" t="s">
        <v>20</v>
      </c>
      <c r="L4" s="33" t="s">
        <v>21</v>
      </c>
      <c r="M4" s="33" t="s">
        <v>22</v>
      </c>
      <c r="N4" s="33" t="s">
        <v>23</v>
      </c>
      <c r="O4" s="33" t="s">
        <v>24</v>
      </c>
      <c r="P4" s="33" t="s">
        <v>25</v>
      </c>
      <c r="Q4" s="8"/>
      <c r="R4" s="8"/>
      <c r="S4" s="8"/>
    </row>
    <row r="5" spans="1:19" s="40" customFormat="1" x14ac:dyDescent="0.35">
      <c r="A5" s="34"/>
      <c r="B5" s="65"/>
      <c r="C5" s="65"/>
      <c r="D5" s="65"/>
      <c r="E5" s="35" t="s">
        <v>26</v>
      </c>
      <c r="F5" s="66">
        <v>151767</v>
      </c>
      <c r="G5" s="66">
        <v>1225392</v>
      </c>
      <c r="H5" s="37">
        <v>0.12385179599670962</v>
      </c>
      <c r="I5" s="38">
        <v>0.84736471037840899</v>
      </c>
      <c r="J5" s="38">
        <v>9.0704830430857822E-2</v>
      </c>
      <c r="K5" s="67">
        <v>99629</v>
      </c>
      <c r="L5" s="67">
        <v>28973</v>
      </c>
      <c r="M5" s="67">
        <v>6894</v>
      </c>
      <c r="N5" s="67">
        <v>5227</v>
      </c>
      <c r="O5" s="67">
        <v>8539</v>
      </c>
      <c r="P5" s="67">
        <v>2505</v>
      </c>
    </row>
    <row r="6" spans="1:19" s="46" customFormat="1" ht="15" customHeight="1" thickBot="1" x14ac:dyDescent="0.4">
      <c r="A6" s="41"/>
      <c r="B6" s="68"/>
      <c r="C6" s="68"/>
      <c r="D6" s="68"/>
      <c r="E6" s="42" t="s">
        <v>27</v>
      </c>
      <c r="F6" s="43">
        <f>SUBTOTAL(9,F7:F999)</f>
        <v>151767</v>
      </c>
      <c r="G6" s="43">
        <f>SUBTOTAL(9,G7:G999)</f>
        <v>1225392</v>
      </c>
      <c r="H6" s="44">
        <f>IFERROR(F6/G6,"NA")</f>
        <v>0.12385179599670962</v>
      </c>
      <c r="I6" s="45">
        <f>IFERROR((K6+L6)/F6, "-")</f>
        <v>0.84704184704184704</v>
      </c>
      <c r="J6" s="45">
        <f>IFERROR((N6+O6)/F6, "-")</f>
        <v>9.0665296144748206E-2</v>
      </c>
      <c r="K6" s="43">
        <f t="shared" ref="K6:P6" si="0">SUBTOTAL(9,K7:K999)</f>
        <v>99587</v>
      </c>
      <c r="L6" s="43">
        <f t="shared" si="0"/>
        <v>28966</v>
      </c>
      <c r="M6" s="43">
        <f t="shared" si="0"/>
        <v>6891</v>
      </c>
      <c r="N6" s="43">
        <f t="shared" si="0"/>
        <v>5226</v>
      </c>
      <c r="O6" s="43">
        <f t="shared" si="0"/>
        <v>8534</v>
      </c>
      <c r="P6" s="43">
        <f t="shared" si="0"/>
        <v>2505</v>
      </c>
    </row>
    <row r="7" spans="1:19" ht="15" customHeight="1" x14ac:dyDescent="0.35">
      <c r="A7" s="84" t="s">
        <v>54</v>
      </c>
      <c r="B7" s="84" t="s">
        <v>66</v>
      </c>
      <c r="C7" s="84" t="s">
        <v>67</v>
      </c>
      <c r="D7" s="84" t="s">
        <v>337</v>
      </c>
      <c r="E7" s="84" t="s">
        <v>338</v>
      </c>
      <c r="F7" s="85">
        <v>1122</v>
      </c>
      <c r="G7" s="85">
        <v>5082</v>
      </c>
      <c r="H7" s="86">
        <v>0.22077922077922077</v>
      </c>
      <c r="I7" s="87">
        <v>0.93850267379679142</v>
      </c>
      <c r="J7" s="87">
        <v>1.1586452762923352E-2</v>
      </c>
      <c r="K7" s="85">
        <v>839</v>
      </c>
      <c r="L7" s="85">
        <v>214</v>
      </c>
      <c r="M7" s="85">
        <v>38</v>
      </c>
      <c r="N7" s="85">
        <v>6</v>
      </c>
      <c r="O7" s="85">
        <v>7</v>
      </c>
      <c r="P7" s="85">
        <v>18</v>
      </c>
    </row>
    <row r="8" spans="1:19" ht="16.5" customHeight="1" x14ac:dyDescent="0.35">
      <c r="A8" s="88" t="s">
        <v>54</v>
      </c>
      <c r="B8" s="88" t="s">
        <v>66</v>
      </c>
      <c r="C8" s="88" t="s">
        <v>67</v>
      </c>
      <c r="D8" s="88" t="s">
        <v>339</v>
      </c>
      <c r="E8" s="88" t="s">
        <v>340</v>
      </c>
      <c r="F8" s="89">
        <v>789</v>
      </c>
      <c r="G8" s="89">
        <v>4995</v>
      </c>
      <c r="H8" s="90">
        <v>0.15795795795795795</v>
      </c>
      <c r="I8" s="91">
        <v>0.90747782002534849</v>
      </c>
      <c r="J8" s="91">
        <v>3.0418250950570342E-2</v>
      </c>
      <c r="K8" s="89">
        <v>541</v>
      </c>
      <c r="L8" s="89">
        <v>175</v>
      </c>
      <c r="M8" s="89">
        <v>30</v>
      </c>
      <c r="N8" s="89">
        <v>9</v>
      </c>
      <c r="O8" s="89">
        <v>15</v>
      </c>
      <c r="P8" s="89">
        <v>19</v>
      </c>
    </row>
    <row r="9" spans="1:19" ht="16.5" customHeight="1" x14ac:dyDescent="0.35">
      <c r="A9" s="88" t="s">
        <v>54</v>
      </c>
      <c r="B9" s="88" t="s">
        <v>68</v>
      </c>
      <c r="C9" s="88" t="s">
        <v>69</v>
      </c>
      <c r="D9" s="88" t="s">
        <v>341</v>
      </c>
      <c r="E9" s="88" t="s">
        <v>342</v>
      </c>
      <c r="F9" s="89">
        <v>170</v>
      </c>
      <c r="G9" s="89">
        <v>6807</v>
      </c>
      <c r="H9" s="90">
        <v>2.4974291170853532E-2</v>
      </c>
      <c r="I9" s="91">
        <v>0.62941176470588234</v>
      </c>
      <c r="J9" s="91">
        <v>0.21176470588235294</v>
      </c>
      <c r="K9" s="89">
        <v>68</v>
      </c>
      <c r="L9" s="89">
        <v>39</v>
      </c>
      <c r="M9" s="89">
        <v>12</v>
      </c>
      <c r="N9" s="89">
        <v>14</v>
      </c>
      <c r="O9" s="89">
        <v>22</v>
      </c>
      <c r="P9" s="89">
        <v>15</v>
      </c>
    </row>
    <row r="10" spans="1:19" x14ac:dyDescent="0.35">
      <c r="A10" s="88" t="s">
        <v>54</v>
      </c>
      <c r="B10" s="88" t="s">
        <v>68</v>
      </c>
      <c r="C10" s="88" t="s">
        <v>69</v>
      </c>
      <c r="D10" s="88" t="s">
        <v>343</v>
      </c>
      <c r="E10" s="88" t="s">
        <v>344</v>
      </c>
      <c r="F10" s="89">
        <v>113</v>
      </c>
      <c r="G10" s="89">
        <v>695</v>
      </c>
      <c r="H10" s="90">
        <v>0.16258992805755396</v>
      </c>
      <c r="I10" s="91">
        <v>0.91150442477876104</v>
      </c>
      <c r="J10" s="91">
        <v>3.5398230088495575E-2</v>
      </c>
      <c r="K10" s="89">
        <v>89</v>
      </c>
      <c r="L10" s="89">
        <v>14</v>
      </c>
      <c r="M10" s="89">
        <v>4</v>
      </c>
      <c r="N10" s="89">
        <v>2</v>
      </c>
      <c r="O10" s="89">
        <v>2</v>
      </c>
      <c r="P10" s="89">
        <v>2</v>
      </c>
    </row>
    <row r="11" spans="1:19" x14ac:dyDescent="0.35">
      <c r="A11" s="88" t="s">
        <v>54</v>
      </c>
      <c r="B11" s="88" t="s">
        <v>68</v>
      </c>
      <c r="C11" s="88" t="s">
        <v>69</v>
      </c>
      <c r="D11" s="88" t="s">
        <v>345</v>
      </c>
      <c r="E11" s="88" t="s">
        <v>346</v>
      </c>
      <c r="F11" s="89">
        <v>652</v>
      </c>
      <c r="G11" s="89">
        <v>8390</v>
      </c>
      <c r="H11" s="90">
        <v>7.7711561382598326E-2</v>
      </c>
      <c r="I11" s="91">
        <v>0.7285276073619632</v>
      </c>
      <c r="J11" s="91">
        <v>0.15030674846625766</v>
      </c>
      <c r="K11" s="89">
        <v>359</v>
      </c>
      <c r="L11" s="89">
        <v>116</v>
      </c>
      <c r="M11" s="89">
        <v>47</v>
      </c>
      <c r="N11" s="89">
        <v>37</v>
      </c>
      <c r="O11" s="89">
        <v>61</v>
      </c>
      <c r="P11" s="89">
        <v>32</v>
      </c>
    </row>
    <row r="12" spans="1:19" x14ac:dyDescent="0.35">
      <c r="A12" s="88" t="s">
        <v>54</v>
      </c>
      <c r="B12" s="88" t="s">
        <v>68</v>
      </c>
      <c r="C12" s="88" t="s">
        <v>69</v>
      </c>
      <c r="D12" s="88" t="s">
        <v>347</v>
      </c>
      <c r="E12" s="88" t="s">
        <v>348</v>
      </c>
      <c r="F12" s="89">
        <v>581</v>
      </c>
      <c r="G12" s="89">
        <v>6450</v>
      </c>
      <c r="H12" s="90">
        <v>9.0077519379844956E-2</v>
      </c>
      <c r="I12" s="91">
        <v>0.79690189328743544</v>
      </c>
      <c r="J12" s="91">
        <v>0.12220309810671257</v>
      </c>
      <c r="K12" s="89">
        <v>344</v>
      </c>
      <c r="L12" s="89">
        <v>119</v>
      </c>
      <c r="M12" s="89">
        <v>35</v>
      </c>
      <c r="N12" s="89">
        <v>25</v>
      </c>
      <c r="O12" s="89">
        <v>46</v>
      </c>
      <c r="P12" s="89">
        <v>12</v>
      </c>
    </row>
    <row r="13" spans="1:19" x14ac:dyDescent="0.35">
      <c r="A13" s="88" t="s">
        <v>54</v>
      </c>
      <c r="B13" s="88" t="s">
        <v>68</v>
      </c>
      <c r="C13" s="88" t="s">
        <v>69</v>
      </c>
      <c r="D13" s="88" t="s">
        <v>349</v>
      </c>
      <c r="E13" s="88" t="s">
        <v>350</v>
      </c>
      <c r="F13" s="89">
        <v>524</v>
      </c>
      <c r="G13" s="89">
        <v>16054</v>
      </c>
      <c r="H13" s="90">
        <v>3.2639840538183633E-2</v>
      </c>
      <c r="I13" s="91">
        <v>0.68511450381679384</v>
      </c>
      <c r="J13" s="91">
        <v>0.21374045801526717</v>
      </c>
      <c r="K13" s="89">
        <v>237</v>
      </c>
      <c r="L13" s="89">
        <v>122</v>
      </c>
      <c r="M13" s="89">
        <v>29</v>
      </c>
      <c r="N13" s="89">
        <v>38</v>
      </c>
      <c r="O13" s="89">
        <v>74</v>
      </c>
      <c r="P13" s="89">
        <v>24</v>
      </c>
    </row>
    <row r="14" spans="1:19" x14ac:dyDescent="0.35">
      <c r="A14" s="88" t="s">
        <v>54</v>
      </c>
      <c r="B14" s="88" t="s">
        <v>70</v>
      </c>
      <c r="C14" s="88" t="s">
        <v>71</v>
      </c>
      <c r="D14" s="88" t="s">
        <v>351</v>
      </c>
      <c r="E14" s="88" t="s">
        <v>352</v>
      </c>
      <c r="F14" s="89">
        <v>712</v>
      </c>
      <c r="G14" s="89">
        <v>3400</v>
      </c>
      <c r="H14" s="90">
        <v>0.20941176470588235</v>
      </c>
      <c r="I14" s="91">
        <v>0.9339887640449438</v>
      </c>
      <c r="J14" s="91">
        <v>3.7921348314606744E-2</v>
      </c>
      <c r="K14" s="89">
        <v>579</v>
      </c>
      <c r="L14" s="89">
        <v>86</v>
      </c>
      <c r="M14" s="89">
        <v>13</v>
      </c>
      <c r="N14" s="89">
        <v>7</v>
      </c>
      <c r="O14" s="89">
        <v>20</v>
      </c>
      <c r="P14" s="89">
        <v>7</v>
      </c>
    </row>
    <row r="15" spans="1:19" x14ac:dyDescent="0.35">
      <c r="A15" s="88" t="s">
        <v>54</v>
      </c>
      <c r="B15" s="88" t="s">
        <v>70</v>
      </c>
      <c r="C15" s="88" t="s">
        <v>71</v>
      </c>
      <c r="D15" s="88" t="s">
        <v>353</v>
      </c>
      <c r="E15" s="88" t="s">
        <v>354</v>
      </c>
      <c r="F15" s="89">
        <v>629</v>
      </c>
      <c r="G15" s="89">
        <v>3430</v>
      </c>
      <c r="H15" s="90">
        <v>0.18338192419825072</v>
      </c>
      <c r="I15" s="91">
        <v>0.89507154213036566</v>
      </c>
      <c r="J15" s="91">
        <v>6.518282988871224E-2</v>
      </c>
      <c r="K15" s="89">
        <v>459</v>
      </c>
      <c r="L15" s="89">
        <v>104</v>
      </c>
      <c r="M15" s="89">
        <v>19</v>
      </c>
      <c r="N15" s="89">
        <v>13</v>
      </c>
      <c r="O15" s="89">
        <v>28</v>
      </c>
      <c r="P15" s="89">
        <v>6</v>
      </c>
    </row>
    <row r="16" spans="1:19" x14ac:dyDescent="0.35">
      <c r="A16" s="88" t="s">
        <v>54</v>
      </c>
      <c r="B16" s="88" t="s">
        <v>70</v>
      </c>
      <c r="C16" s="88" t="s">
        <v>71</v>
      </c>
      <c r="D16" s="88" t="s">
        <v>355</v>
      </c>
      <c r="E16" s="88" t="s">
        <v>356</v>
      </c>
      <c r="F16" s="89">
        <v>1663</v>
      </c>
      <c r="G16" s="89">
        <v>9126</v>
      </c>
      <c r="H16" s="90">
        <v>0.18222660530352838</v>
      </c>
      <c r="I16" s="91">
        <v>0.9061936259771497</v>
      </c>
      <c r="J16" s="91">
        <v>6.0132291040288638E-2</v>
      </c>
      <c r="K16" s="89">
        <v>1252</v>
      </c>
      <c r="L16" s="89">
        <v>255</v>
      </c>
      <c r="M16" s="89">
        <v>48</v>
      </c>
      <c r="N16" s="89">
        <v>44</v>
      </c>
      <c r="O16" s="89">
        <v>56</v>
      </c>
      <c r="P16" s="89">
        <v>8</v>
      </c>
    </row>
    <row r="17" spans="1:16" x14ac:dyDescent="0.35">
      <c r="A17" s="88" t="s">
        <v>54</v>
      </c>
      <c r="B17" s="88" t="s">
        <v>72</v>
      </c>
      <c r="C17" s="88" t="s">
        <v>73</v>
      </c>
      <c r="D17" s="88" t="s">
        <v>357</v>
      </c>
      <c r="E17" s="88" t="s">
        <v>358</v>
      </c>
      <c r="F17" s="89">
        <v>1041</v>
      </c>
      <c r="G17" s="89">
        <v>7270</v>
      </c>
      <c r="H17" s="90">
        <v>0.14319119669876204</v>
      </c>
      <c r="I17" s="91">
        <v>0.75792507204610948</v>
      </c>
      <c r="J17" s="91">
        <v>0.14121037463976946</v>
      </c>
      <c r="K17" s="89">
        <v>521</v>
      </c>
      <c r="L17" s="89">
        <v>268</v>
      </c>
      <c r="M17" s="89">
        <v>66</v>
      </c>
      <c r="N17" s="89">
        <v>48</v>
      </c>
      <c r="O17" s="89">
        <v>99</v>
      </c>
      <c r="P17" s="89">
        <v>39</v>
      </c>
    </row>
    <row r="18" spans="1:16" x14ac:dyDescent="0.35">
      <c r="A18" s="88" t="s">
        <v>54</v>
      </c>
      <c r="B18" s="88" t="s">
        <v>72</v>
      </c>
      <c r="C18" s="88" t="s">
        <v>73</v>
      </c>
      <c r="D18" s="88" t="s">
        <v>359</v>
      </c>
      <c r="E18" s="88" t="s">
        <v>360</v>
      </c>
      <c r="F18" s="89">
        <v>989</v>
      </c>
      <c r="G18" s="89">
        <v>4703</v>
      </c>
      <c r="H18" s="90">
        <v>0.21029130342334679</v>
      </c>
      <c r="I18" s="91">
        <v>0.73710819009100104</v>
      </c>
      <c r="J18" s="91">
        <v>0.15773508594539939</v>
      </c>
      <c r="K18" s="89">
        <v>500</v>
      </c>
      <c r="L18" s="89">
        <v>229</v>
      </c>
      <c r="M18" s="89">
        <v>70</v>
      </c>
      <c r="N18" s="89">
        <v>58</v>
      </c>
      <c r="O18" s="89">
        <v>98</v>
      </c>
      <c r="P18" s="89">
        <v>34</v>
      </c>
    </row>
    <row r="19" spans="1:16" x14ac:dyDescent="0.35">
      <c r="A19" s="88" t="s">
        <v>54</v>
      </c>
      <c r="B19" s="88" t="s">
        <v>74</v>
      </c>
      <c r="C19" s="88" t="s">
        <v>75</v>
      </c>
      <c r="D19" s="88" t="s">
        <v>361</v>
      </c>
      <c r="E19" s="88" t="s">
        <v>362</v>
      </c>
      <c r="F19" s="89">
        <v>836</v>
      </c>
      <c r="G19" s="89">
        <v>4430</v>
      </c>
      <c r="H19" s="90">
        <v>0.18871331828442439</v>
      </c>
      <c r="I19" s="91">
        <v>0.86124401913875603</v>
      </c>
      <c r="J19" s="91">
        <v>7.7751196172248807E-2</v>
      </c>
      <c r="K19" s="89">
        <v>585</v>
      </c>
      <c r="L19" s="89">
        <v>135</v>
      </c>
      <c r="M19" s="89">
        <v>48</v>
      </c>
      <c r="N19" s="89">
        <v>26</v>
      </c>
      <c r="O19" s="89">
        <v>39</v>
      </c>
      <c r="P19" s="89">
        <v>3</v>
      </c>
    </row>
    <row r="20" spans="1:16" x14ac:dyDescent="0.35">
      <c r="A20" s="88" t="s">
        <v>54</v>
      </c>
      <c r="B20" s="88" t="s">
        <v>74</v>
      </c>
      <c r="C20" s="88" t="s">
        <v>75</v>
      </c>
      <c r="D20" s="88" t="s">
        <v>363</v>
      </c>
      <c r="E20" s="88" t="s">
        <v>364</v>
      </c>
      <c r="F20" s="89">
        <v>1063</v>
      </c>
      <c r="G20" s="89">
        <v>6525</v>
      </c>
      <c r="H20" s="90">
        <v>0.16291187739463603</v>
      </c>
      <c r="I20" s="91">
        <v>0.81843838193791152</v>
      </c>
      <c r="J20" s="91">
        <v>0.1006585136406397</v>
      </c>
      <c r="K20" s="89">
        <v>684</v>
      </c>
      <c r="L20" s="89">
        <v>186</v>
      </c>
      <c r="M20" s="89">
        <v>72</v>
      </c>
      <c r="N20" s="89">
        <v>44</v>
      </c>
      <c r="O20" s="89">
        <v>63</v>
      </c>
      <c r="P20" s="89">
        <v>14</v>
      </c>
    </row>
    <row r="21" spans="1:16" x14ac:dyDescent="0.35">
      <c r="A21" s="88" t="s">
        <v>54</v>
      </c>
      <c r="B21" s="88" t="s">
        <v>76</v>
      </c>
      <c r="C21" s="88" t="s">
        <v>77</v>
      </c>
      <c r="D21" s="88" t="s">
        <v>365</v>
      </c>
      <c r="E21" s="88" t="s">
        <v>366</v>
      </c>
      <c r="F21" s="89">
        <v>1903</v>
      </c>
      <c r="G21" s="89">
        <v>9675</v>
      </c>
      <c r="H21" s="90">
        <v>0.19669250645994832</v>
      </c>
      <c r="I21" s="91">
        <v>0.79348397267472415</v>
      </c>
      <c r="J21" s="91">
        <v>8.2501313715186542E-2</v>
      </c>
      <c r="K21" s="89">
        <v>976</v>
      </c>
      <c r="L21" s="89">
        <v>534</v>
      </c>
      <c r="M21" s="89">
        <v>159</v>
      </c>
      <c r="N21" s="89">
        <v>74</v>
      </c>
      <c r="O21" s="89">
        <v>83</v>
      </c>
      <c r="P21" s="89">
        <v>77</v>
      </c>
    </row>
    <row r="22" spans="1:16" x14ac:dyDescent="0.35">
      <c r="A22" s="88" t="s">
        <v>54</v>
      </c>
      <c r="B22" s="88" t="s">
        <v>76</v>
      </c>
      <c r="C22" s="88" t="s">
        <v>77</v>
      </c>
      <c r="D22" s="88" t="s">
        <v>367</v>
      </c>
      <c r="E22" s="88" t="s">
        <v>368</v>
      </c>
      <c r="F22" s="89">
        <v>419</v>
      </c>
      <c r="G22" s="89">
        <v>2946</v>
      </c>
      <c r="H22" s="90">
        <v>0.14222674813306177</v>
      </c>
      <c r="I22" s="91">
        <v>0.85680190930787592</v>
      </c>
      <c r="J22" s="91">
        <v>8.3532219570405727E-2</v>
      </c>
      <c r="K22" s="89">
        <v>292</v>
      </c>
      <c r="L22" s="89">
        <v>67</v>
      </c>
      <c r="M22" s="89">
        <v>14</v>
      </c>
      <c r="N22" s="89">
        <v>14</v>
      </c>
      <c r="O22" s="89">
        <v>21</v>
      </c>
      <c r="P22" s="89">
        <v>11</v>
      </c>
    </row>
    <row r="23" spans="1:16" x14ac:dyDescent="0.35">
      <c r="A23" s="88" t="s">
        <v>54</v>
      </c>
      <c r="B23" s="88" t="s">
        <v>78</v>
      </c>
      <c r="C23" s="88" t="s">
        <v>79</v>
      </c>
      <c r="D23" s="88" t="s">
        <v>369</v>
      </c>
      <c r="E23" s="88" t="s">
        <v>370</v>
      </c>
      <c r="F23" s="89">
        <v>242</v>
      </c>
      <c r="G23" s="89">
        <v>9938</v>
      </c>
      <c r="H23" s="90">
        <v>2.4350976051519421E-2</v>
      </c>
      <c r="I23" s="91">
        <v>0.94214876033057848</v>
      </c>
      <c r="J23" s="91">
        <v>3.71900826446281E-2</v>
      </c>
      <c r="K23" s="89">
        <v>164</v>
      </c>
      <c r="L23" s="89">
        <v>64</v>
      </c>
      <c r="M23" s="89">
        <v>5</v>
      </c>
      <c r="N23" s="89">
        <v>3</v>
      </c>
      <c r="O23" s="89">
        <v>6</v>
      </c>
      <c r="P23" s="89">
        <v>0</v>
      </c>
    </row>
    <row r="24" spans="1:16" x14ac:dyDescent="0.35">
      <c r="A24" s="88" t="s">
        <v>54</v>
      </c>
      <c r="B24" s="88" t="s">
        <v>80</v>
      </c>
      <c r="C24" s="88" t="s">
        <v>81</v>
      </c>
      <c r="D24" s="88" t="s">
        <v>371</v>
      </c>
      <c r="E24" s="88" t="s">
        <v>372</v>
      </c>
      <c r="F24" s="89">
        <v>698</v>
      </c>
      <c r="G24" s="89">
        <v>2963</v>
      </c>
      <c r="H24" s="90">
        <v>0.23557205534930814</v>
      </c>
      <c r="I24" s="91">
        <v>0.95128939828080228</v>
      </c>
      <c r="J24" s="91">
        <v>3.4383954154727794E-2</v>
      </c>
      <c r="K24" s="89">
        <v>600</v>
      </c>
      <c r="L24" s="89">
        <v>64</v>
      </c>
      <c r="M24" s="89">
        <v>8</v>
      </c>
      <c r="N24" s="89">
        <v>6</v>
      </c>
      <c r="O24" s="89">
        <v>18</v>
      </c>
      <c r="P24" s="89">
        <v>2</v>
      </c>
    </row>
    <row r="25" spans="1:16" x14ac:dyDescent="0.35">
      <c r="A25" s="88" t="s">
        <v>54</v>
      </c>
      <c r="B25" s="88" t="s">
        <v>80</v>
      </c>
      <c r="C25" s="88" t="s">
        <v>81</v>
      </c>
      <c r="D25" s="88" t="s">
        <v>373</v>
      </c>
      <c r="E25" s="88" t="s">
        <v>374</v>
      </c>
      <c r="F25" s="89">
        <v>802</v>
      </c>
      <c r="G25" s="89">
        <v>5396</v>
      </c>
      <c r="H25" s="90">
        <v>0.14862861378799111</v>
      </c>
      <c r="I25" s="91">
        <v>0.88528678304239405</v>
      </c>
      <c r="J25" s="91">
        <v>6.9825436408977551E-2</v>
      </c>
      <c r="K25" s="89">
        <v>544</v>
      </c>
      <c r="L25" s="89">
        <v>166</v>
      </c>
      <c r="M25" s="89">
        <v>31</v>
      </c>
      <c r="N25" s="89">
        <v>29</v>
      </c>
      <c r="O25" s="89">
        <v>27</v>
      </c>
      <c r="P25" s="89">
        <v>5</v>
      </c>
    </row>
    <row r="26" spans="1:16" x14ac:dyDescent="0.35">
      <c r="A26" s="88" t="s">
        <v>54</v>
      </c>
      <c r="B26" s="88" t="s">
        <v>80</v>
      </c>
      <c r="C26" s="88" t="s">
        <v>81</v>
      </c>
      <c r="D26" s="88" t="s">
        <v>375</v>
      </c>
      <c r="E26" s="88" t="s">
        <v>376</v>
      </c>
      <c r="F26" s="89">
        <v>625</v>
      </c>
      <c r="G26" s="89">
        <v>4608</v>
      </c>
      <c r="H26" s="90">
        <v>0.13563368055555555</v>
      </c>
      <c r="I26" s="91">
        <v>0.90559999999999996</v>
      </c>
      <c r="J26" s="91">
        <v>5.28E-2</v>
      </c>
      <c r="K26" s="89">
        <v>445</v>
      </c>
      <c r="L26" s="89">
        <v>121</v>
      </c>
      <c r="M26" s="89">
        <v>22</v>
      </c>
      <c r="N26" s="89">
        <v>10</v>
      </c>
      <c r="O26" s="89">
        <v>23</v>
      </c>
      <c r="P26" s="89">
        <v>4</v>
      </c>
    </row>
    <row r="27" spans="1:16" x14ac:dyDescent="0.35">
      <c r="A27" s="88" t="s">
        <v>54</v>
      </c>
      <c r="B27" s="88" t="s">
        <v>80</v>
      </c>
      <c r="C27" s="88" t="s">
        <v>81</v>
      </c>
      <c r="D27" s="88" t="s">
        <v>377</v>
      </c>
      <c r="E27" s="88" t="s">
        <v>378</v>
      </c>
      <c r="F27" s="89">
        <v>698</v>
      </c>
      <c r="G27" s="89">
        <v>6360</v>
      </c>
      <c r="H27" s="90">
        <v>0.10974842767295598</v>
      </c>
      <c r="I27" s="91">
        <v>0.96275071633237819</v>
      </c>
      <c r="J27" s="91">
        <v>4.2979942693409743E-3</v>
      </c>
      <c r="K27" s="89">
        <v>533</v>
      </c>
      <c r="L27" s="89">
        <v>139</v>
      </c>
      <c r="M27" s="89">
        <v>23</v>
      </c>
      <c r="N27" s="89">
        <v>0</v>
      </c>
      <c r="O27" s="89">
        <v>3</v>
      </c>
      <c r="P27" s="89">
        <v>0</v>
      </c>
    </row>
    <row r="28" spans="1:16" x14ac:dyDescent="0.35">
      <c r="A28" s="88" t="s">
        <v>54</v>
      </c>
      <c r="B28" s="88" t="s">
        <v>82</v>
      </c>
      <c r="C28" s="88" t="s">
        <v>83</v>
      </c>
      <c r="D28" s="88" t="s">
        <v>379</v>
      </c>
      <c r="E28" s="88" t="s">
        <v>380</v>
      </c>
      <c r="F28" s="89">
        <v>42</v>
      </c>
      <c r="G28" s="89">
        <v>1025</v>
      </c>
      <c r="H28" s="90">
        <v>4.0975609756097563E-2</v>
      </c>
      <c r="I28" s="91">
        <v>0.83333333333333337</v>
      </c>
      <c r="J28" s="91">
        <v>2.3809523809523808E-2</v>
      </c>
      <c r="K28" s="89">
        <v>27</v>
      </c>
      <c r="L28" s="89">
        <v>8</v>
      </c>
      <c r="M28" s="89">
        <v>4</v>
      </c>
      <c r="N28" s="89">
        <v>0</v>
      </c>
      <c r="O28" s="89">
        <v>1</v>
      </c>
      <c r="P28" s="89">
        <v>2</v>
      </c>
    </row>
    <row r="29" spans="1:16" x14ac:dyDescent="0.35">
      <c r="A29" s="88" t="s">
        <v>54</v>
      </c>
      <c r="B29" s="88" t="s">
        <v>82</v>
      </c>
      <c r="C29" s="88" t="s">
        <v>83</v>
      </c>
      <c r="D29" s="88" t="s">
        <v>381</v>
      </c>
      <c r="E29" s="88" t="s">
        <v>382</v>
      </c>
      <c r="F29" s="89">
        <v>642</v>
      </c>
      <c r="G29" s="89">
        <v>10539</v>
      </c>
      <c r="H29" s="90">
        <v>6.0916595502419582E-2</v>
      </c>
      <c r="I29" s="91">
        <v>0.7009345794392523</v>
      </c>
      <c r="J29" s="91">
        <v>0.18535825545171339</v>
      </c>
      <c r="K29" s="89">
        <v>315</v>
      </c>
      <c r="L29" s="89">
        <v>135</v>
      </c>
      <c r="M29" s="89">
        <v>37</v>
      </c>
      <c r="N29" s="89">
        <v>44</v>
      </c>
      <c r="O29" s="89">
        <v>75</v>
      </c>
      <c r="P29" s="89">
        <v>36</v>
      </c>
    </row>
    <row r="30" spans="1:16" x14ac:dyDescent="0.35">
      <c r="A30" s="88" t="s">
        <v>54</v>
      </c>
      <c r="B30" s="88" t="s">
        <v>82</v>
      </c>
      <c r="C30" s="88" t="s">
        <v>83</v>
      </c>
      <c r="D30" s="88" t="s">
        <v>383</v>
      </c>
      <c r="E30" s="88" t="s">
        <v>384</v>
      </c>
      <c r="F30" s="89">
        <v>513</v>
      </c>
      <c r="G30" s="89">
        <v>3719</v>
      </c>
      <c r="H30" s="90">
        <v>0.13794030653401451</v>
      </c>
      <c r="I30" s="91">
        <v>0.87329434697855746</v>
      </c>
      <c r="J30" s="91">
        <v>7.0175438596491224E-2</v>
      </c>
      <c r="K30" s="89">
        <v>313</v>
      </c>
      <c r="L30" s="89">
        <v>135</v>
      </c>
      <c r="M30" s="89">
        <v>21</v>
      </c>
      <c r="N30" s="89">
        <v>12</v>
      </c>
      <c r="O30" s="89">
        <v>24</v>
      </c>
      <c r="P30" s="89">
        <v>8</v>
      </c>
    </row>
    <row r="31" spans="1:16" x14ac:dyDescent="0.35">
      <c r="A31" s="88" t="s">
        <v>54</v>
      </c>
      <c r="B31" s="88" t="s">
        <v>84</v>
      </c>
      <c r="C31" s="88" t="s">
        <v>85</v>
      </c>
      <c r="D31" s="88" t="s">
        <v>385</v>
      </c>
      <c r="E31" s="88" t="s">
        <v>386</v>
      </c>
      <c r="F31" s="89">
        <v>1327</v>
      </c>
      <c r="G31" s="89">
        <v>6536</v>
      </c>
      <c r="H31" s="90">
        <v>0.20302937576499389</v>
      </c>
      <c r="I31" s="91">
        <v>0.892991710625471</v>
      </c>
      <c r="J31" s="91">
        <v>6.4054257724189906E-2</v>
      </c>
      <c r="K31" s="89">
        <v>966</v>
      </c>
      <c r="L31" s="89">
        <v>219</v>
      </c>
      <c r="M31" s="89">
        <v>47</v>
      </c>
      <c r="N31" s="89">
        <v>35</v>
      </c>
      <c r="O31" s="89">
        <v>50</v>
      </c>
      <c r="P31" s="89">
        <v>10</v>
      </c>
    </row>
    <row r="32" spans="1:16" x14ac:dyDescent="0.35">
      <c r="A32" s="88" t="s">
        <v>54</v>
      </c>
      <c r="B32" s="88" t="s">
        <v>84</v>
      </c>
      <c r="C32" s="88" t="s">
        <v>85</v>
      </c>
      <c r="D32" s="88" t="s">
        <v>387</v>
      </c>
      <c r="E32" s="88" t="s">
        <v>388</v>
      </c>
      <c r="F32" s="89">
        <v>555</v>
      </c>
      <c r="G32" s="89">
        <v>2552</v>
      </c>
      <c r="H32" s="90">
        <v>0.21747648902821318</v>
      </c>
      <c r="I32" s="91">
        <v>0.89909909909909913</v>
      </c>
      <c r="J32" s="91">
        <v>5.5855855855855854E-2</v>
      </c>
      <c r="K32" s="89">
        <v>415</v>
      </c>
      <c r="L32" s="89">
        <v>84</v>
      </c>
      <c r="M32" s="89">
        <v>20</v>
      </c>
      <c r="N32" s="89">
        <v>12</v>
      </c>
      <c r="O32" s="89">
        <v>19</v>
      </c>
      <c r="P32" s="89">
        <v>5</v>
      </c>
    </row>
    <row r="33" spans="1:16" x14ac:dyDescent="0.35">
      <c r="A33" s="88" t="s">
        <v>54</v>
      </c>
      <c r="B33" s="88" t="s">
        <v>86</v>
      </c>
      <c r="C33" s="88" t="s">
        <v>87</v>
      </c>
      <c r="D33" s="88" t="s">
        <v>389</v>
      </c>
      <c r="E33" s="88" t="s">
        <v>390</v>
      </c>
      <c r="F33" s="89">
        <v>484</v>
      </c>
      <c r="G33" s="89">
        <v>7619</v>
      </c>
      <c r="H33" s="90">
        <v>6.3525397033731459E-2</v>
      </c>
      <c r="I33" s="91">
        <v>0.62396694214876036</v>
      </c>
      <c r="J33" s="91">
        <v>0.24173553719008264</v>
      </c>
      <c r="K33" s="89">
        <v>161</v>
      </c>
      <c r="L33" s="89">
        <v>141</v>
      </c>
      <c r="M33" s="89">
        <v>62</v>
      </c>
      <c r="N33" s="89">
        <v>38</v>
      </c>
      <c r="O33" s="89">
        <v>79</v>
      </c>
      <c r="P33" s="89">
        <v>3</v>
      </c>
    </row>
    <row r="34" spans="1:16" x14ac:dyDescent="0.35">
      <c r="A34" s="88" t="s">
        <v>54</v>
      </c>
      <c r="B34" s="88" t="s">
        <v>86</v>
      </c>
      <c r="C34" s="88" t="s">
        <v>87</v>
      </c>
      <c r="D34" s="88" t="s">
        <v>391</v>
      </c>
      <c r="E34" s="88" t="s">
        <v>392</v>
      </c>
      <c r="F34" s="89">
        <v>704</v>
      </c>
      <c r="G34" s="89">
        <v>10061</v>
      </c>
      <c r="H34" s="90">
        <v>6.9973163701421329E-2</v>
      </c>
      <c r="I34" s="91">
        <v>0.73011363636363635</v>
      </c>
      <c r="J34" s="91">
        <v>0.16619318181818182</v>
      </c>
      <c r="K34" s="89">
        <v>312</v>
      </c>
      <c r="L34" s="89">
        <v>202</v>
      </c>
      <c r="M34" s="89">
        <v>58</v>
      </c>
      <c r="N34" s="89">
        <v>47</v>
      </c>
      <c r="O34" s="89">
        <v>70</v>
      </c>
      <c r="P34" s="89">
        <v>15</v>
      </c>
    </row>
    <row r="35" spans="1:16" x14ac:dyDescent="0.35">
      <c r="A35" s="88" t="s">
        <v>54</v>
      </c>
      <c r="B35" s="88" t="s">
        <v>88</v>
      </c>
      <c r="C35" s="88" t="s">
        <v>89</v>
      </c>
      <c r="D35" s="88" t="s">
        <v>393</v>
      </c>
      <c r="E35" s="88" t="s">
        <v>394</v>
      </c>
      <c r="F35" s="89">
        <v>168</v>
      </c>
      <c r="G35" s="89">
        <v>1399</v>
      </c>
      <c r="H35" s="90">
        <v>0.12008577555396711</v>
      </c>
      <c r="I35" s="91">
        <v>0.88095238095238093</v>
      </c>
      <c r="J35" s="91">
        <v>1.7857142857142856E-2</v>
      </c>
      <c r="K35" s="89">
        <v>112</v>
      </c>
      <c r="L35" s="89">
        <v>36</v>
      </c>
      <c r="M35" s="89">
        <v>7</v>
      </c>
      <c r="N35" s="89">
        <v>1</v>
      </c>
      <c r="O35" s="89">
        <v>2</v>
      </c>
      <c r="P35" s="89">
        <v>10</v>
      </c>
    </row>
    <row r="36" spans="1:16" x14ac:dyDescent="0.35">
      <c r="A36" s="88" t="s">
        <v>54</v>
      </c>
      <c r="B36" s="88" t="s">
        <v>88</v>
      </c>
      <c r="C36" s="88" t="s">
        <v>89</v>
      </c>
      <c r="D36" s="88" t="s">
        <v>395</v>
      </c>
      <c r="E36" s="88" t="s">
        <v>396</v>
      </c>
      <c r="F36" s="89">
        <v>466</v>
      </c>
      <c r="G36" s="89">
        <v>4727</v>
      </c>
      <c r="H36" s="90">
        <v>9.8582610535223186E-2</v>
      </c>
      <c r="I36" s="91">
        <v>0.91201716738197425</v>
      </c>
      <c r="J36" s="91">
        <v>2.3605150214592276E-2</v>
      </c>
      <c r="K36" s="89">
        <v>297</v>
      </c>
      <c r="L36" s="89">
        <v>128</v>
      </c>
      <c r="M36" s="89">
        <v>12</v>
      </c>
      <c r="N36" s="89">
        <v>7</v>
      </c>
      <c r="O36" s="89">
        <v>4</v>
      </c>
      <c r="P36" s="89">
        <v>18</v>
      </c>
    </row>
    <row r="37" spans="1:16" x14ac:dyDescent="0.35">
      <c r="A37" s="88" t="s">
        <v>54</v>
      </c>
      <c r="B37" s="88" t="s">
        <v>88</v>
      </c>
      <c r="C37" s="88" t="s">
        <v>89</v>
      </c>
      <c r="D37" s="88" t="s">
        <v>397</v>
      </c>
      <c r="E37" s="88" t="s">
        <v>398</v>
      </c>
      <c r="F37" s="89">
        <v>473</v>
      </c>
      <c r="G37" s="89">
        <v>10309</v>
      </c>
      <c r="H37" s="90">
        <v>4.5882238820448153E-2</v>
      </c>
      <c r="I37" s="91">
        <v>0.93234672304439747</v>
      </c>
      <c r="J37" s="91">
        <v>4.6511627906976744E-2</v>
      </c>
      <c r="K37" s="89">
        <v>209</v>
      </c>
      <c r="L37" s="89">
        <v>232</v>
      </c>
      <c r="M37" s="89">
        <v>7</v>
      </c>
      <c r="N37" s="89">
        <v>12</v>
      </c>
      <c r="O37" s="89">
        <v>10</v>
      </c>
      <c r="P37" s="89">
        <v>3</v>
      </c>
    </row>
    <row r="38" spans="1:16" x14ac:dyDescent="0.35">
      <c r="A38" s="88" t="s">
        <v>54</v>
      </c>
      <c r="B38" s="88" t="s">
        <v>90</v>
      </c>
      <c r="C38" s="88" t="s">
        <v>91</v>
      </c>
      <c r="D38" s="88" t="s">
        <v>399</v>
      </c>
      <c r="E38" s="88" t="s">
        <v>400</v>
      </c>
      <c r="F38" s="89">
        <v>763</v>
      </c>
      <c r="G38" s="89">
        <v>8860</v>
      </c>
      <c r="H38" s="90">
        <v>8.6117381489841993E-2</v>
      </c>
      <c r="I38" s="91">
        <v>0.92660550458715596</v>
      </c>
      <c r="J38" s="91">
        <v>3.5386631716906945E-2</v>
      </c>
      <c r="K38" s="89">
        <v>512</v>
      </c>
      <c r="L38" s="89">
        <v>195</v>
      </c>
      <c r="M38" s="89">
        <v>18</v>
      </c>
      <c r="N38" s="89">
        <v>10</v>
      </c>
      <c r="O38" s="89">
        <v>17</v>
      </c>
      <c r="P38" s="89">
        <v>11</v>
      </c>
    </row>
    <row r="39" spans="1:16" x14ac:dyDescent="0.35">
      <c r="A39" s="88" t="s">
        <v>54</v>
      </c>
      <c r="B39" s="88" t="s">
        <v>92</v>
      </c>
      <c r="C39" s="88" t="s">
        <v>93</v>
      </c>
      <c r="D39" s="88" t="s">
        <v>401</v>
      </c>
      <c r="E39" s="88" t="s">
        <v>402</v>
      </c>
      <c r="F39" s="89">
        <v>969</v>
      </c>
      <c r="G39" s="89">
        <v>11471</v>
      </c>
      <c r="H39" s="90">
        <v>8.4473890680847361E-2</v>
      </c>
      <c r="I39" s="91">
        <v>0.68524251805985548</v>
      </c>
      <c r="J39" s="91">
        <v>0.23426212590299278</v>
      </c>
      <c r="K39" s="89">
        <v>440</v>
      </c>
      <c r="L39" s="89">
        <v>224</v>
      </c>
      <c r="M39" s="89">
        <v>59</v>
      </c>
      <c r="N39" s="89">
        <v>87</v>
      </c>
      <c r="O39" s="89">
        <v>140</v>
      </c>
      <c r="P39" s="89">
        <v>19</v>
      </c>
    </row>
    <row r="40" spans="1:16" x14ac:dyDescent="0.35">
      <c r="A40" s="88" t="s">
        <v>54</v>
      </c>
      <c r="B40" s="88" t="s">
        <v>94</v>
      </c>
      <c r="C40" s="88" t="s">
        <v>95</v>
      </c>
      <c r="D40" s="88" t="s">
        <v>403</v>
      </c>
      <c r="E40" s="88" t="s">
        <v>404</v>
      </c>
      <c r="F40" s="89">
        <v>2833</v>
      </c>
      <c r="G40" s="89">
        <v>5341</v>
      </c>
      <c r="H40" s="90">
        <v>0.53042501404231412</v>
      </c>
      <c r="I40" s="91">
        <v>0.79738792799152847</v>
      </c>
      <c r="J40" s="91">
        <v>0.11189551711966114</v>
      </c>
      <c r="K40" s="89">
        <v>1252</v>
      </c>
      <c r="L40" s="89">
        <v>1007</v>
      </c>
      <c r="M40" s="89">
        <v>257</v>
      </c>
      <c r="N40" s="89">
        <v>163</v>
      </c>
      <c r="O40" s="89">
        <v>154</v>
      </c>
      <c r="P40" s="89">
        <v>0</v>
      </c>
    </row>
    <row r="41" spans="1:16" x14ac:dyDescent="0.35">
      <c r="A41" s="88" t="s">
        <v>54</v>
      </c>
      <c r="B41" s="88" t="s">
        <v>94</v>
      </c>
      <c r="C41" s="88" t="s">
        <v>95</v>
      </c>
      <c r="D41" s="88" t="s">
        <v>405</v>
      </c>
      <c r="E41" s="88" t="s">
        <v>406</v>
      </c>
      <c r="F41" s="89">
        <v>3298</v>
      </c>
      <c r="G41" s="89">
        <v>5951</v>
      </c>
      <c r="H41" s="90">
        <v>0.55419257267686106</v>
      </c>
      <c r="I41" s="91">
        <v>0.87568223165554882</v>
      </c>
      <c r="J41" s="91">
        <v>6.1552456033959979E-2</v>
      </c>
      <c r="K41" s="89">
        <v>1928</v>
      </c>
      <c r="L41" s="89">
        <v>960</v>
      </c>
      <c r="M41" s="89">
        <v>207</v>
      </c>
      <c r="N41" s="89">
        <v>128</v>
      </c>
      <c r="O41" s="89">
        <v>75</v>
      </c>
      <c r="P41" s="89">
        <v>0</v>
      </c>
    </row>
    <row r="42" spans="1:16" x14ac:dyDescent="0.35">
      <c r="A42" s="88" t="s">
        <v>54</v>
      </c>
      <c r="B42" s="88" t="s">
        <v>96</v>
      </c>
      <c r="C42" s="88" t="s">
        <v>97</v>
      </c>
      <c r="D42" s="88" t="s">
        <v>407</v>
      </c>
      <c r="E42" s="88" t="s">
        <v>408</v>
      </c>
      <c r="F42" s="89">
        <v>1444</v>
      </c>
      <c r="G42" s="89">
        <v>8703</v>
      </c>
      <c r="H42" s="90">
        <v>0.16591979777088361</v>
      </c>
      <c r="I42" s="91">
        <v>0.81717451523545703</v>
      </c>
      <c r="J42" s="91">
        <v>0.1329639889196676</v>
      </c>
      <c r="K42" s="89">
        <v>909</v>
      </c>
      <c r="L42" s="89">
        <v>271</v>
      </c>
      <c r="M42" s="89">
        <v>53</v>
      </c>
      <c r="N42" s="89">
        <v>75</v>
      </c>
      <c r="O42" s="89">
        <v>117</v>
      </c>
      <c r="P42" s="89">
        <v>19</v>
      </c>
    </row>
    <row r="43" spans="1:16" x14ac:dyDescent="0.35">
      <c r="A43" s="88" t="s">
        <v>54</v>
      </c>
      <c r="B43" s="88" t="s">
        <v>96</v>
      </c>
      <c r="C43" s="88" t="s">
        <v>97</v>
      </c>
      <c r="D43" s="88" t="s">
        <v>409</v>
      </c>
      <c r="E43" s="88" t="s">
        <v>410</v>
      </c>
      <c r="F43" s="89">
        <v>72</v>
      </c>
      <c r="G43" s="89">
        <v>1384</v>
      </c>
      <c r="H43" s="90">
        <v>5.2023121387283239E-2</v>
      </c>
      <c r="I43" s="91">
        <v>1</v>
      </c>
      <c r="J43" s="91">
        <v>0</v>
      </c>
      <c r="K43" s="89">
        <v>66</v>
      </c>
      <c r="L43" s="89">
        <v>6</v>
      </c>
      <c r="M43" s="89">
        <v>0</v>
      </c>
      <c r="N43" s="89">
        <v>0</v>
      </c>
      <c r="O43" s="89">
        <v>0</v>
      </c>
      <c r="P43" s="89">
        <v>0</v>
      </c>
    </row>
    <row r="44" spans="1:16" x14ac:dyDescent="0.35">
      <c r="A44" s="88" t="s">
        <v>54</v>
      </c>
      <c r="B44" s="88" t="s">
        <v>98</v>
      </c>
      <c r="C44" s="88" t="s">
        <v>99</v>
      </c>
      <c r="D44" s="88" t="s">
        <v>411</v>
      </c>
      <c r="E44" s="88" t="s">
        <v>412</v>
      </c>
      <c r="F44" s="89">
        <v>333</v>
      </c>
      <c r="G44" s="89">
        <v>4109</v>
      </c>
      <c r="H44" s="90">
        <v>8.1041615964954974E-2</v>
      </c>
      <c r="I44" s="91">
        <v>0.64864864864864868</v>
      </c>
      <c r="J44" s="91">
        <v>0.16816816816816818</v>
      </c>
      <c r="K44" s="89">
        <v>118</v>
      </c>
      <c r="L44" s="89">
        <v>98</v>
      </c>
      <c r="M44" s="89">
        <v>41</v>
      </c>
      <c r="N44" s="89">
        <v>25</v>
      </c>
      <c r="O44" s="89">
        <v>31</v>
      </c>
      <c r="P44" s="89">
        <v>20</v>
      </c>
    </row>
    <row r="45" spans="1:16" x14ac:dyDescent="0.35">
      <c r="A45" s="88" t="s">
        <v>54</v>
      </c>
      <c r="B45" s="88" t="s">
        <v>98</v>
      </c>
      <c r="C45" s="88" t="s">
        <v>99</v>
      </c>
      <c r="D45" s="88" t="s">
        <v>413</v>
      </c>
      <c r="E45" s="88" t="s">
        <v>414</v>
      </c>
      <c r="F45" s="89">
        <v>512</v>
      </c>
      <c r="G45" s="89">
        <v>2863</v>
      </c>
      <c r="H45" s="90">
        <v>0.17883339154732797</v>
      </c>
      <c r="I45" s="91">
        <v>0.951171875</v>
      </c>
      <c r="J45" s="91">
        <v>2.1484375E-2</v>
      </c>
      <c r="K45" s="89">
        <v>403</v>
      </c>
      <c r="L45" s="89">
        <v>84</v>
      </c>
      <c r="M45" s="89">
        <v>10</v>
      </c>
      <c r="N45" s="89">
        <v>6</v>
      </c>
      <c r="O45" s="89">
        <v>5</v>
      </c>
      <c r="P45" s="89">
        <v>4</v>
      </c>
    </row>
    <row r="46" spans="1:16" x14ac:dyDescent="0.35">
      <c r="A46" s="88" t="s">
        <v>54</v>
      </c>
      <c r="B46" s="88" t="s">
        <v>100</v>
      </c>
      <c r="C46" s="88" t="s">
        <v>101</v>
      </c>
      <c r="D46" s="88" t="s">
        <v>415</v>
      </c>
      <c r="E46" s="88" t="s">
        <v>416</v>
      </c>
      <c r="F46" s="89">
        <v>1984</v>
      </c>
      <c r="G46" s="89">
        <v>9515</v>
      </c>
      <c r="H46" s="90">
        <v>0.20851287440882815</v>
      </c>
      <c r="I46" s="91">
        <v>0.876008064516129</v>
      </c>
      <c r="J46" s="91">
        <v>8.5685483870967735E-2</v>
      </c>
      <c r="K46" s="89">
        <v>1457</v>
      </c>
      <c r="L46" s="89">
        <v>281</v>
      </c>
      <c r="M46" s="89">
        <v>67</v>
      </c>
      <c r="N46" s="89">
        <v>58</v>
      </c>
      <c r="O46" s="89">
        <v>112</v>
      </c>
      <c r="P46" s="89">
        <v>9</v>
      </c>
    </row>
    <row r="47" spans="1:16" x14ac:dyDescent="0.35">
      <c r="A47" s="88" t="s">
        <v>54</v>
      </c>
      <c r="B47" s="88" t="s">
        <v>102</v>
      </c>
      <c r="C47" s="88" t="s">
        <v>103</v>
      </c>
      <c r="D47" s="88" t="s">
        <v>417</v>
      </c>
      <c r="E47" s="88" t="s">
        <v>418</v>
      </c>
      <c r="F47" s="89">
        <v>1030</v>
      </c>
      <c r="G47" s="89">
        <v>7757</v>
      </c>
      <c r="H47" s="90">
        <v>0.13278329250999096</v>
      </c>
      <c r="I47" s="91">
        <v>0.78446601941747574</v>
      </c>
      <c r="J47" s="91">
        <v>0.1553398058252427</v>
      </c>
      <c r="K47" s="89">
        <v>613</v>
      </c>
      <c r="L47" s="89">
        <v>195</v>
      </c>
      <c r="M47" s="89">
        <v>55</v>
      </c>
      <c r="N47" s="89">
        <v>51</v>
      </c>
      <c r="O47" s="89">
        <v>109</v>
      </c>
      <c r="P47" s="89">
        <v>7</v>
      </c>
    </row>
    <row r="48" spans="1:16" x14ac:dyDescent="0.35">
      <c r="A48" s="88" t="s">
        <v>28</v>
      </c>
      <c r="B48" s="88" t="s">
        <v>104</v>
      </c>
      <c r="C48" s="88" t="s">
        <v>105</v>
      </c>
      <c r="D48" s="88" t="s">
        <v>419</v>
      </c>
      <c r="E48" s="88" t="s">
        <v>420</v>
      </c>
      <c r="F48" s="89">
        <v>121</v>
      </c>
      <c r="G48" s="89">
        <v>4261</v>
      </c>
      <c r="H48" s="90">
        <v>2.8397089885003519E-2</v>
      </c>
      <c r="I48" s="91">
        <v>0.93388429752066116</v>
      </c>
      <c r="J48" s="91">
        <v>4.1322314049586778E-2</v>
      </c>
      <c r="K48" s="89">
        <v>93</v>
      </c>
      <c r="L48" s="89">
        <v>20</v>
      </c>
      <c r="M48" s="89">
        <v>2</v>
      </c>
      <c r="N48" s="89">
        <v>3</v>
      </c>
      <c r="O48" s="89">
        <v>2</v>
      </c>
      <c r="P48" s="89">
        <v>1</v>
      </c>
    </row>
    <row r="49" spans="1:16" x14ac:dyDescent="0.35">
      <c r="A49" s="88" t="s">
        <v>28</v>
      </c>
      <c r="B49" s="88" t="s">
        <v>106</v>
      </c>
      <c r="C49" s="88" t="s">
        <v>107</v>
      </c>
      <c r="D49" s="88" t="s">
        <v>421</v>
      </c>
      <c r="E49" s="88" t="s">
        <v>422</v>
      </c>
      <c r="F49" s="89">
        <v>202</v>
      </c>
      <c r="G49" s="89">
        <v>6443</v>
      </c>
      <c r="H49" s="90">
        <v>3.1351854726059288E-2</v>
      </c>
      <c r="I49" s="91">
        <v>0.88118811881188119</v>
      </c>
      <c r="J49" s="91">
        <v>6.4356435643564358E-2</v>
      </c>
      <c r="K49" s="89">
        <v>143</v>
      </c>
      <c r="L49" s="89">
        <v>35</v>
      </c>
      <c r="M49" s="89">
        <v>10</v>
      </c>
      <c r="N49" s="89">
        <v>4</v>
      </c>
      <c r="O49" s="89">
        <v>9</v>
      </c>
      <c r="P49" s="89">
        <v>1</v>
      </c>
    </row>
    <row r="50" spans="1:16" x14ac:dyDescent="0.35">
      <c r="A50" s="88" t="s">
        <v>28</v>
      </c>
      <c r="B50" s="88" t="s">
        <v>108</v>
      </c>
      <c r="C50" s="88" t="s">
        <v>109</v>
      </c>
      <c r="D50" s="88" t="s">
        <v>423</v>
      </c>
      <c r="E50" s="88" t="s">
        <v>424</v>
      </c>
      <c r="F50" s="89">
        <v>306</v>
      </c>
      <c r="G50" s="89">
        <v>9115</v>
      </c>
      <c r="H50" s="90">
        <v>3.3571036752605594E-2</v>
      </c>
      <c r="I50" s="91">
        <v>0.934640522875817</v>
      </c>
      <c r="J50" s="91">
        <v>3.9215686274509803E-2</v>
      </c>
      <c r="K50" s="89">
        <v>210</v>
      </c>
      <c r="L50" s="89">
        <v>76</v>
      </c>
      <c r="M50" s="89">
        <v>5</v>
      </c>
      <c r="N50" s="89">
        <v>5</v>
      </c>
      <c r="O50" s="89">
        <v>7</v>
      </c>
      <c r="P50" s="89">
        <v>3</v>
      </c>
    </row>
    <row r="51" spans="1:16" x14ac:dyDescent="0.35">
      <c r="A51" s="88" t="s">
        <v>28</v>
      </c>
      <c r="B51" s="88" t="s">
        <v>110</v>
      </c>
      <c r="C51" s="88" t="s">
        <v>111</v>
      </c>
      <c r="D51" s="88" t="s">
        <v>425</v>
      </c>
      <c r="E51" s="88" t="s">
        <v>426</v>
      </c>
      <c r="F51" s="89">
        <v>632</v>
      </c>
      <c r="G51" s="89">
        <v>5737</v>
      </c>
      <c r="H51" s="90">
        <v>0.11016210563012027</v>
      </c>
      <c r="I51" s="91">
        <v>0.83069620253164556</v>
      </c>
      <c r="J51" s="91">
        <v>0.10284810126582279</v>
      </c>
      <c r="K51" s="89">
        <v>433</v>
      </c>
      <c r="L51" s="89">
        <v>92</v>
      </c>
      <c r="M51" s="89">
        <v>31</v>
      </c>
      <c r="N51" s="89">
        <v>17</v>
      </c>
      <c r="O51" s="89">
        <v>48</v>
      </c>
      <c r="P51" s="89">
        <v>11</v>
      </c>
    </row>
    <row r="52" spans="1:16" x14ac:dyDescent="0.35">
      <c r="A52" s="88" t="s">
        <v>28</v>
      </c>
      <c r="B52" s="88" t="s">
        <v>110</v>
      </c>
      <c r="C52" s="88" t="s">
        <v>111</v>
      </c>
      <c r="D52" s="88" t="s">
        <v>427</v>
      </c>
      <c r="E52" s="88" t="s">
        <v>428</v>
      </c>
      <c r="F52" s="89">
        <v>599</v>
      </c>
      <c r="G52" s="89">
        <v>5085</v>
      </c>
      <c r="H52" s="90">
        <v>0.11779744346116028</v>
      </c>
      <c r="I52" s="91">
        <v>0.81469115191986641</v>
      </c>
      <c r="J52" s="91">
        <v>0.11853088480801335</v>
      </c>
      <c r="K52" s="89">
        <v>396</v>
      </c>
      <c r="L52" s="89">
        <v>92</v>
      </c>
      <c r="M52" s="89">
        <v>27</v>
      </c>
      <c r="N52" s="89">
        <v>22</v>
      </c>
      <c r="O52" s="89">
        <v>49</v>
      </c>
      <c r="P52" s="89">
        <v>13</v>
      </c>
    </row>
    <row r="53" spans="1:16" x14ac:dyDescent="0.35">
      <c r="A53" s="88" t="s">
        <v>28</v>
      </c>
      <c r="B53" s="88" t="s">
        <v>112</v>
      </c>
      <c r="C53" s="88" t="s">
        <v>113</v>
      </c>
      <c r="D53" s="88" t="s">
        <v>429</v>
      </c>
      <c r="E53" s="88" t="s">
        <v>430</v>
      </c>
      <c r="F53" s="89">
        <v>59</v>
      </c>
      <c r="G53" s="89">
        <v>4296</v>
      </c>
      <c r="H53" s="90">
        <v>1.3733705772811917E-2</v>
      </c>
      <c r="I53" s="91">
        <v>0.89830508474576276</v>
      </c>
      <c r="J53" s="91">
        <v>8.4745762711864403E-2</v>
      </c>
      <c r="K53" s="89">
        <v>48</v>
      </c>
      <c r="L53" s="89">
        <v>5</v>
      </c>
      <c r="M53" s="89">
        <v>0</v>
      </c>
      <c r="N53" s="89">
        <v>2</v>
      </c>
      <c r="O53" s="89">
        <v>3</v>
      </c>
      <c r="P53" s="89">
        <v>1</v>
      </c>
    </row>
    <row r="54" spans="1:16" x14ac:dyDescent="0.35">
      <c r="A54" s="88" t="s">
        <v>28</v>
      </c>
      <c r="B54" s="88" t="s">
        <v>112</v>
      </c>
      <c r="C54" s="88" t="s">
        <v>113</v>
      </c>
      <c r="D54" s="88" t="s">
        <v>431</v>
      </c>
      <c r="E54" s="88" t="s">
        <v>432</v>
      </c>
      <c r="F54" s="89">
        <v>535</v>
      </c>
      <c r="G54" s="89">
        <v>8403</v>
      </c>
      <c r="H54" s="90">
        <v>6.3667737712721648E-2</v>
      </c>
      <c r="I54" s="91">
        <v>0.98691588785046724</v>
      </c>
      <c r="J54" s="91">
        <v>7.4766355140186919E-3</v>
      </c>
      <c r="K54" s="89">
        <v>437</v>
      </c>
      <c r="L54" s="89">
        <v>91</v>
      </c>
      <c r="M54" s="89">
        <v>2</v>
      </c>
      <c r="N54" s="89">
        <v>2</v>
      </c>
      <c r="O54" s="89">
        <v>2</v>
      </c>
      <c r="P54" s="89">
        <v>1</v>
      </c>
    </row>
    <row r="55" spans="1:16" x14ac:dyDescent="0.35">
      <c r="A55" s="88" t="s">
        <v>28</v>
      </c>
      <c r="B55" s="88" t="s">
        <v>112</v>
      </c>
      <c r="C55" s="88" t="s">
        <v>113</v>
      </c>
      <c r="D55" s="88" t="s">
        <v>433</v>
      </c>
      <c r="E55" s="88" t="s">
        <v>434</v>
      </c>
      <c r="F55" s="89">
        <v>0</v>
      </c>
      <c r="G55" s="89">
        <v>1921</v>
      </c>
      <c r="H55" s="90">
        <v>0</v>
      </c>
      <c r="I55" s="91" t="s">
        <v>11</v>
      </c>
      <c r="J55" s="91" t="s">
        <v>11</v>
      </c>
      <c r="K55" s="89">
        <v>0</v>
      </c>
      <c r="L55" s="89">
        <v>0</v>
      </c>
      <c r="M55" s="89">
        <v>0</v>
      </c>
      <c r="N55" s="89">
        <v>0</v>
      </c>
      <c r="O55" s="89">
        <v>0</v>
      </c>
      <c r="P55" s="89">
        <v>0</v>
      </c>
    </row>
    <row r="56" spans="1:16" x14ac:dyDescent="0.35">
      <c r="A56" s="88" t="s">
        <v>28</v>
      </c>
      <c r="B56" s="88" t="s">
        <v>114</v>
      </c>
      <c r="C56" s="88" t="s">
        <v>115</v>
      </c>
      <c r="D56" s="88" t="s">
        <v>435</v>
      </c>
      <c r="E56" s="88" t="s">
        <v>436</v>
      </c>
      <c r="F56" s="89">
        <v>427</v>
      </c>
      <c r="G56" s="89">
        <v>2886</v>
      </c>
      <c r="H56" s="90">
        <v>0.14795564795564795</v>
      </c>
      <c r="I56" s="91">
        <v>0.91100702576112413</v>
      </c>
      <c r="J56" s="91">
        <v>3.9812646370023422E-2</v>
      </c>
      <c r="K56" s="89">
        <v>319</v>
      </c>
      <c r="L56" s="89">
        <v>70</v>
      </c>
      <c r="M56" s="89">
        <v>17</v>
      </c>
      <c r="N56" s="89">
        <v>10</v>
      </c>
      <c r="O56" s="89">
        <v>7</v>
      </c>
      <c r="P56" s="89">
        <v>4</v>
      </c>
    </row>
    <row r="57" spans="1:16" x14ac:dyDescent="0.35">
      <c r="A57" s="88" t="s">
        <v>28</v>
      </c>
      <c r="B57" s="88" t="s">
        <v>114</v>
      </c>
      <c r="C57" s="88" t="s">
        <v>115</v>
      </c>
      <c r="D57" s="88" t="s">
        <v>437</v>
      </c>
      <c r="E57" s="88" t="s">
        <v>438</v>
      </c>
      <c r="F57" s="89">
        <v>9</v>
      </c>
      <c r="G57" s="89">
        <v>699</v>
      </c>
      <c r="H57" s="90">
        <v>1.2875536480686695E-2</v>
      </c>
      <c r="I57" s="91">
        <v>1</v>
      </c>
      <c r="J57" s="91">
        <v>0</v>
      </c>
      <c r="K57" s="89">
        <v>9</v>
      </c>
      <c r="L57" s="89">
        <v>0</v>
      </c>
      <c r="M57" s="89">
        <v>0</v>
      </c>
      <c r="N57" s="89">
        <v>0</v>
      </c>
      <c r="O57" s="89">
        <v>0</v>
      </c>
      <c r="P57" s="89">
        <v>0</v>
      </c>
    </row>
    <row r="58" spans="1:16" x14ac:dyDescent="0.35">
      <c r="A58" s="88" t="s">
        <v>28</v>
      </c>
      <c r="B58" s="88" t="s">
        <v>116</v>
      </c>
      <c r="C58" s="88" t="s">
        <v>117</v>
      </c>
      <c r="D58" s="88" t="s">
        <v>439</v>
      </c>
      <c r="E58" s="88" t="s">
        <v>440</v>
      </c>
      <c r="F58" s="89">
        <v>1329</v>
      </c>
      <c r="G58" s="89">
        <v>8841</v>
      </c>
      <c r="H58" s="90">
        <v>0.15032236172378691</v>
      </c>
      <c r="I58" s="91">
        <v>0.81113619262603465</v>
      </c>
      <c r="J58" s="91">
        <v>0.12189616252821671</v>
      </c>
      <c r="K58" s="89">
        <v>843</v>
      </c>
      <c r="L58" s="89">
        <v>235</v>
      </c>
      <c r="M58" s="89">
        <v>50</v>
      </c>
      <c r="N58" s="89">
        <v>43</v>
      </c>
      <c r="O58" s="89">
        <v>119</v>
      </c>
      <c r="P58" s="89">
        <v>39</v>
      </c>
    </row>
    <row r="59" spans="1:16" x14ac:dyDescent="0.35">
      <c r="A59" s="88" t="s">
        <v>28</v>
      </c>
      <c r="B59" s="88" t="s">
        <v>118</v>
      </c>
      <c r="C59" s="88" t="s">
        <v>119</v>
      </c>
      <c r="D59" s="88" t="s">
        <v>441</v>
      </c>
      <c r="E59" s="88" t="s">
        <v>442</v>
      </c>
      <c r="F59" s="89">
        <v>2127</v>
      </c>
      <c r="G59" s="89">
        <v>8370</v>
      </c>
      <c r="H59" s="90">
        <v>0.25412186379928314</v>
      </c>
      <c r="I59" s="91">
        <v>0.90691114245416082</v>
      </c>
      <c r="J59" s="91">
        <v>5.4536906440996707E-2</v>
      </c>
      <c r="K59" s="89">
        <v>1520</v>
      </c>
      <c r="L59" s="89">
        <v>409</v>
      </c>
      <c r="M59" s="89">
        <v>45</v>
      </c>
      <c r="N59" s="89">
        <v>55</v>
      </c>
      <c r="O59" s="89">
        <v>61</v>
      </c>
      <c r="P59" s="89">
        <v>37</v>
      </c>
    </row>
    <row r="60" spans="1:16" x14ac:dyDescent="0.35">
      <c r="A60" s="88" t="s">
        <v>28</v>
      </c>
      <c r="B60" s="88" t="s">
        <v>118</v>
      </c>
      <c r="C60" s="88" t="s">
        <v>119</v>
      </c>
      <c r="D60" s="88" t="s">
        <v>443</v>
      </c>
      <c r="E60" s="88" t="s">
        <v>444</v>
      </c>
      <c r="F60" s="89">
        <v>2663</v>
      </c>
      <c r="G60" s="89">
        <v>4645</v>
      </c>
      <c r="H60" s="90">
        <v>0.57330462863293863</v>
      </c>
      <c r="I60" s="91">
        <v>0.84791588434096887</v>
      </c>
      <c r="J60" s="91">
        <v>7.360120165227188E-2</v>
      </c>
      <c r="K60" s="89">
        <v>1579</v>
      </c>
      <c r="L60" s="89">
        <v>679</v>
      </c>
      <c r="M60" s="89">
        <v>100</v>
      </c>
      <c r="N60" s="89">
        <v>127</v>
      </c>
      <c r="O60" s="89">
        <v>69</v>
      </c>
      <c r="P60" s="89">
        <v>109</v>
      </c>
    </row>
    <row r="61" spans="1:16" x14ac:dyDescent="0.35">
      <c r="A61" s="88" t="s">
        <v>28</v>
      </c>
      <c r="B61" s="88" t="s">
        <v>120</v>
      </c>
      <c r="C61" s="88" t="s">
        <v>121</v>
      </c>
      <c r="D61" s="88" t="s">
        <v>445</v>
      </c>
      <c r="E61" s="88" t="s">
        <v>446</v>
      </c>
      <c r="F61" s="89">
        <v>835</v>
      </c>
      <c r="G61" s="89">
        <v>4571</v>
      </c>
      <c r="H61" s="90">
        <v>0.18267337562896521</v>
      </c>
      <c r="I61" s="91">
        <v>0.92934131736526948</v>
      </c>
      <c r="J61" s="91">
        <v>3.9520958083832339E-2</v>
      </c>
      <c r="K61" s="89">
        <v>611</v>
      </c>
      <c r="L61" s="89">
        <v>165</v>
      </c>
      <c r="M61" s="89">
        <v>21</v>
      </c>
      <c r="N61" s="89">
        <v>14</v>
      </c>
      <c r="O61" s="89">
        <v>19</v>
      </c>
      <c r="P61" s="89">
        <v>5</v>
      </c>
    </row>
    <row r="62" spans="1:16" x14ac:dyDescent="0.35">
      <c r="A62" s="88" t="s">
        <v>28</v>
      </c>
      <c r="B62" s="88" t="s">
        <v>120</v>
      </c>
      <c r="C62" s="88" t="s">
        <v>121</v>
      </c>
      <c r="D62" s="88" t="s">
        <v>447</v>
      </c>
      <c r="E62" s="88" t="s">
        <v>448</v>
      </c>
      <c r="F62" s="89">
        <v>456</v>
      </c>
      <c r="G62" s="89">
        <v>5926</v>
      </c>
      <c r="H62" s="90">
        <v>7.6949038137023293E-2</v>
      </c>
      <c r="I62" s="91">
        <v>0.89254385964912286</v>
      </c>
      <c r="J62" s="91">
        <v>7.4561403508771926E-2</v>
      </c>
      <c r="K62" s="89">
        <v>334</v>
      </c>
      <c r="L62" s="89">
        <v>73</v>
      </c>
      <c r="M62" s="89">
        <v>14</v>
      </c>
      <c r="N62" s="89">
        <v>9</v>
      </c>
      <c r="O62" s="89">
        <v>25</v>
      </c>
      <c r="P62" s="89">
        <v>1</v>
      </c>
    </row>
    <row r="63" spans="1:16" x14ac:dyDescent="0.35">
      <c r="A63" s="88" t="s">
        <v>28</v>
      </c>
      <c r="B63" s="88" t="s">
        <v>120</v>
      </c>
      <c r="C63" s="88" t="s">
        <v>121</v>
      </c>
      <c r="D63" s="88" t="s">
        <v>449</v>
      </c>
      <c r="E63" s="88" t="s">
        <v>450</v>
      </c>
      <c r="F63" s="89">
        <v>285</v>
      </c>
      <c r="G63" s="89">
        <v>3151</v>
      </c>
      <c r="H63" s="90">
        <v>9.0447476991431297E-2</v>
      </c>
      <c r="I63" s="91">
        <v>0.90175438596491231</v>
      </c>
      <c r="J63" s="91">
        <v>8.0701754385964913E-2</v>
      </c>
      <c r="K63" s="89">
        <v>220</v>
      </c>
      <c r="L63" s="89">
        <v>37</v>
      </c>
      <c r="M63" s="89">
        <v>4</v>
      </c>
      <c r="N63" s="89">
        <v>9</v>
      </c>
      <c r="O63" s="89">
        <v>14</v>
      </c>
      <c r="P63" s="89">
        <v>1</v>
      </c>
    </row>
    <row r="64" spans="1:16" x14ac:dyDescent="0.35">
      <c r="A64" s="88" t="s">
        <v>28</v>
      </c>
      <c r="B64" s="88" t="s">
        <v>122</v>
      </c>
      <c r="C64" s="88" t="s">
        <v>123</v>
      </c>
      <c r="D64" s="88" t="s">
        <v>451</v>
      </c>
      <c r="E64" s="88" t="s">
        <v>452</v>
      </c>
      <c r="F64" s="89">
        <v>346</v>
      </c>
      <c r="G64" s="89">
        <v>5328</v>
      </c>
      <c r="H64" s="90">
        <v>6.4939939939939934E-2</v>
      </c>
      <c r="I64" s="91">
        <v>0.74855491329479773</v>
      </c>
      <c r="J64" s="91">
        <v>0.17341040462427745</v>
      </c>
      <c r="K64" s="89">
        <v>170</v>
      </c>
      <c r="L64" s="89">
        <v>89</v>
      </c>
      <c r="M64" s="89">
        <v>24</v>
      </c>
      <c r="N64" s="89">
        <v>27</v>
      </c>
      <c r="O64" s="89">
        <v>33</v>
      </c>
      <c r="P64" s="89">
        <v>3</v>
      </c>
    </row>
    <row r="65" spans="1:16" x14ac:dyDescent="0.35">
      <c r="A65" s="88" t="s">
        <v>28</v>
      </c>
      <c r="B65" s="88" t="s">
        <v>122</v>
      </c>
      <c r="C65" s="88" t="s">
        <v>123</v>
      </c>
      <c r="D65" s="88" t="s">
        <v>453</v>
      </c>
      <c r="E65" s="88" t="s">
        <v>454</v>
      </c>
      <c r="F65" s="89">
        <v>369</v>
      </c>
      <c r="G65" s="89">
        <v>5077</v>
      </c>
      <c r="H65" s="90">
        <v>7.2680716958833963E-2</v>
      </c>
      <c r="I65" s="91">
        <v>0.77506775067750677</v>
      </c>
      <c r="J65" s="91">
        <v>0.13821138211382114</v>
      </c>
      <c r="K65" s="89">
        <v>189</v>
      </c>
      <c r="L65" s="89">
        <v>97</v>
      </c>
      <c r="M65" s="89">
        <v>30</v>
      </c>
      <c r="N65" s="89">
        <v>17</v>
      </c>
      <c r="O65" s="89">
        <v>34</v>
      </c>
      <c r="P65" s="89">
        <v>2</v>
      </c>
    </row>
    <row r="66" spans="1:16" x14ac:dyDescent="0.35">
      <c r="A66" s="88" t="s">
        <v>28</v>
      </c>
      <c r="B66" s="88" t="s">
        <v>124</v>
      </c>
      <c r="C66" s="88" t="s">
        <v>125</v>
      </c>
      <c r="D66" s="88" t="s">
        <v>455</v>
      </c>
      <c r="E66" s="88" t="s">
        <v>456</v>
      </c>
      <c r="F66" s="89">
        <v>691</v>
      </c>
      <c r="G66" s="89">
        <v>4907</v>
      </c>
      <c r="H66" s="90">
        <v>0.14081923782351743</v>
      </c>
      <c r="I66" s="91">
        <v>0.80897250361794504</v>
      </c>
      <c r="J66" s="91">
        <v>0.1085383502170767</v>
      </c>
      <c r="K66" s="89">
        <v>497</v>
      </c>
      <c r="L66" s="89">
        <v>62</v>
      </c>
      <c r="M66" s="89">
        <v>35</v>
      </c>
      <c r="N66" s="89">
        <v>17</v>
      </c>
      <c r="O66" s="89">
        <v>58</v>
      </c>
      <c r="P66" s="89">
        <v>22</v>
      </c>
    </row>
    <row r="67" spans="1:16" x14ac:dyDescent="0.35">
      <c r="A67" s="88" t="s">
        <v>28</v>
      </c>
      <c r="B67" s="88" t="s">
        <v>126</v>
      </c>
      <c r="C67" s="88" t="s">
        <v>127</v>
      </c>
      <c r="D67" s="88" t="s">
        <v>457</v>
      </c>
      <c r="E67" s="88" t="s">
        <v>458</v>
      </c>
      <c r="F67" s="89">
        <v>1051</v>
      </c>
      <c r="G67" s="89">
        <v>6600</v>
      </c>
      <c r="H67" s="90">
        <v>0.15924242424242424</v>
      </c>
      <c r="I67" s="91">
        <v>0.76213130352045666</v>
      </c>
      <c r="J67" s="91">
        <v>0.16365366317792579</v>
      </c>
      <c r="K67" s="89">
        <v>613</v>
      </c>
      <c r="L67" s="89">
        <v>188</v>
      </c>
      <c r="M67" s="89">
        <v>66</v>
      </c>
      <c r="N67" s="89">
        <v>61</v>
      </c>
      <c r="O67" s="89">
        <v>111</v>
      </c>
      <c r="P67" s="89">
        <v>12</v>
      </c>
    </row>
    <row r="68" spans="1:16" x14ac:dyDescent="0.35">
      <c r="A68" s="88" t="s">
        <v>28</v>
      </c>
      <c r="B68" s="88" t="s">
        <v>126</v>
      </c>
      <c r="C68" s="88" t="s">
        <v>127</v>
      </c>
      <c r="D68" s="88" t="s">
        <v>459</v>
      </c>
      <c r="E68" s="88" t="s">
        <v>460</v>
      </c>
      <c r="F68" s="89">
        <v>69</v>
      </c>
      <c r="G68" s="89">
        <v>1195</v>
      </c>
      <c r="H68" s="90">
        <v>5.7740585774058578E-2</v>
      </c>
      <c r="I68" s="91">
        <v>1</v>
      </c>
      <c r="J68" s="91">
        <v>0</v>
      </c>
      <c r="K68" s="89">
        <v>64</v>
      </c>
      <c r="L68" s="89">
        <v>5</v>
      </c>
      <c r="M68" s="89">
        <v>0</v>
      </c>
      <c r="N68" s="89">
        <v>0</v>
      </c>
      <c r="O68" s="89">
        <v>0</v>
      </c>
      <c r="P68" s="89">
        <v>0</v>
      </c>
    </row>
    <row r="69" spans="1:16" x14ac:dyDescent="0.35">
      <c r="A69" s="88" t="s">
        <v>28</v>
      </c>
      <c r="B69" s="88" t="s">
        <v>126</v>
      </c>
      <c r="C69" s="88" t="s">
        <v>127</v>
      </c>
      <c r="D69" s="88" t="s">
        <v>461</v>
      </c>
      <c r="E69" s="88" t="s">
        <v>462</v>
      </c>
      <c r="F69" s="89">
        <v>448</v>
      </c>
      <c r="G69" s="89">
        <v>1781</v>
      </c>
      <c r="H69" s="90">
        <v>0.25154407636159459</v>
      </c>
      <c r="I69" s="91">
        <v>0.8995535714285714</v>
      </c>
      <c r="J69" s="91">
        <v>6.6964285714285712E-2</v>
      </c>
      <c r="K69" s="89">
        <v>344</v>
      </c>
      <c r="L69" s="89">
        <v>59</v>
      </c>
      <c r="M69" s="89">
        <v>11</v>
      </c>
      <c r="N69" s="89">
        <v>11</v>
      </c>
      <c r="O69" s="89">
        <v>19</v>
      </c>
      <c r="P69" s="89">
        <v>4</v>
      </c>
    </row>
    <row r="70" spans="1:16" x14ac:dyDescent="0.35">
      <c r="A70" s="88" t="s">
        <v>28</v>
      </c>
      <c r="B70" s="88" t="s">
        <v>128</v>
      </c>
      <c r="C70" s="88" t="s">
        <v>129</v>
      </c>
      <c r="D70" s="88" t="s">
        <v>463</v>
      </c>
      <c r="E70" s="88" t="s">
        <v>464</v>
      </c>
      <c r="F70" s="89">
        <v>71</v>
      </c>
      <c r="G70" s="89">
        <v>6331</v>
      </c>
      <c r="H70" s="90">
        <v>1.1214658031906492E-2</v>
      </c>
      <c r="I70" s="91">
        <v>0.95774647887323938</v>
      </c>
      <c r="J70" s="91">
        <v>4.2253521126760563E-2</v>
      </c>
      <c r="K70" s="89">
        <v>58</v>
      </c>
      <c r="L70" s="89">
        <v>10</v>
      </c>
      <c r="M70" s="89">
        <v>0</v>
      </c>
      <c r="N70" s="89">
        <v>1</v>
      </c>
      <c r="O70" s="89">
        <v>2</v>
      </c>
      <c r="P70" s="89">
        <v>0</v>
      </c>
    </row>
    <row r="71" spans="1:16" x14ac:dyDescent="0.35">
      <c r="A71" s="88" t="s">
        <v>28</v>
      </c>
      <c r="B71" s="88" t="s">
        <v>130</v>
      </c>
      <c r="C71" s="88" t="s">
        <v>131</v>
      </c>
      <c r="D71" s="88" t="s">
        <v>465</v>
      </c>
      <c r="E71" s="88" t="s">
        <v>466</v>
      </c>
      <c r="F71" s="89">
        <v>82</v>
      </c>
      <c r="G71" s="89">
        <v>1134</v>
      </c>
      <c r="H71" s="90">
        <v>7.2310405643738973E-2</v>
      </c>
      <c r="I71" s="91">
        <v>0.79268292682926833</v>
      </c>
      <c r="J71" s="91">
        <v>0.10975609756097561</v>
      </c>
      <c r="K71" s="89">
        <v>50</v>
      </c>
      <c r="L71" s="89">
        <v>15</v>
      </c>
      <c r="M71" s="89">
        <v>6</v>
      </c>
      <c r="N71" s="89">
        <v>4</v>
      </c>
      <c r="O71" s="89">
        <v>5</v>
      </c>
      <c r="P71" s="89">
        <v>2</v>
      </c>
    </row>
    <row r="72" spans="1:16" x14ac:dyDescent="0.35">
      <c r="A72" s="88" t="s">
        <v>28</v>
      </c>
      <c r="B72" s="88" t="s">
        <v>130</v>
      </c>
      <c r="C72" s="88" t="s">
        <v>131</v>
      </c>
      <c r="D72" s="88" t="s">
        <v>467</v>
      </c>
      <c r="E72" s="88" t="s">
        <v>468</v>
      </c>
      <c r="F72" s="89">
        <v>338</v>
      </c>
      <c r="G72" s="89">
        <v>4955</v>
      </c>
      <c r="H72" s="90">
        <v>6.8213925327951563E-2</v>
      </c>
      <c r="I72" s="91">
        <v>0.65088757396449703</v>
      </c>
      <c r="J72" s="91">
        <v>0.20118343195266272</v>
      </c>
      <c r="K72" s="89">
        <v>163</v>
      </c>
      <c r="L72" s="89">
        <v>57</v>
      </c>
      <c r="M72" s="89">
        <v>45</v>
      </c>
      <c r="N72" s="89">
        <v>31</v>
      </c>
      <c r="O72" s="89">
        <v>37</v>
      </c>
      <c r="P72" s="89">
        <v>5</v>
      </c>
    </row>
    <row r="73" spans="1:16" x14ac:dyDescent="0.35">
      <c r="A73" s="88" t="s">
        <v>30</v>
      </c>
      <c r="B73" s="88" t="s">
        <v>132</v>
      </c>
      <c r="C73" s="88" t="s">
        <v>133</v>
      </c>
      <c r="D73" s="88" t="s">
        <v>469</v>
      </c>
      <c r="E73" s="88" t="s">
        <v>470</v>
      </c>
      <c r="F73" s="89">
        <v>464</v>
      </c>
      <c r="G73" s="89">
        <v>4363</v>
      </c>
      <c r="H73" s="90">
        <v>0.10634884253953701</v>
      </c>
      <c r="I73" s="91">
        <v>0.91379310344827591</v>
      </c>
      <c r="J73" s="91">
        <v>1.0775862068965518E-2</v>
      </c>
      <c r="K73" s="89">
        <v>293</v>
      </c>
      <c r="L73" s="89">
        <v>131</v>
      </c>
      <c r="M73" s="89">
        <v>18</v>
      </c>
      <c r="N73" s="89">
        <v>3</v>
      </c>
      <c r="O73" s="89">
        <v>2</v>
      </c>
      <c r="P73" s="89">
        <v>17</v>
      </c>
    </row>
    <row r="74" spans="1:16" x14ac:dyDescent="0.35">
      <c r="A74" s="88" t="s">
        <v>30</v>
      </c>
      <c r="B74" s="88" t="s">
        <v>132</v>
      </c>
      <c r="C74" s="88" t="s">
        <v>133</v>
      </c>
      <c r="D74" s="88" t="s">
        <v>471</v>
      </c>
      <c r="E74" s="88" t="s">
        <v>472</v>
      </c>
      <c r="F74" s="89">
        <v>1090</v>
      </c>
      <c r="G74" s="89">
        <v>4516</v>
      </c>
      <c r="H74" s="90">
        <v>0.24136403897254208</v>
      </c>
      <c r="I74" s="91">
        <v>0.84128440366972479</v>
      </c>
      <c r="J74" s="91">
        <v>2.2018348623853212E-2</v>
      </c>
      <c r="K74" s="89">
        <v>539</v>
      </c>
      <c r="L74" s="89">
        <v>378</v>
      </c>
      <c r="M74" s="89">
        <v>53</v>
      </c>
      <c r="N74" s="89">
        <v>15</v>
      </c>
      <c r="O74" s="89">
        <v>9</v>
      </c>
      <c r="P74" s="89">
        <v>96</v>
      </c>
    </row>
    <row r="75" spans="1:16" x14ac:dyDescent="0.35">
      <c r="A75" s="88" t="s">
        <v>30</v>
      </c>
      <c r="B75" s="88" t="s">
        <v>132</v>
      </c>
      <c r="C75" s="88" t="s">
        <v>133</v>
      </c>
      <c r="D75" s="88" t="s">
        <v>473</v>
      </c>
      <c r="E75" s="88" t="s">
        <v>474</v>
      </c>
      <c r="F75" s="89">
        <v>1694</v>
      </c>
      <c r="G75" s="89">
        <v>7137</v>
      </c>
      <c r="H75" s="90">
        <v>0.23735463079725375</v>
      </c>
      <c r="I75" s="91">
        <v>0.95395513577331759</v>
      </c>
      <c r="J75" s="91">
        <v>6.4935064935064939E-3</v>
      </c>
      <c r="K75" s="89">
        <v>1122</v>
      </c>
      <c r="L75" s="89">
        <v>494</v>
      </c>
      <c r="M75" s="89">
        <v>40</v>
      </c>
      <c r="N75" s="89">
        <v>5</v>
      </c>
      <c r="O75" s="89">
        <v>6</v>
      </c>
      <c r="P75" s="89">
        <v>27</v>
      </c>
    </row>
    <row r="76" spans="1:16" x14ac:dyDescent="0.35">
      <c r="A76" s="88" t="s">
        <v>30</v>
      </c>
      <c r="B76" s="88" t="s">
        <v>134</v>
      </c>
      <c r="C76" s="88" t="s">
        <v>135</v>
      </c>
      <c r="D76" s="88" t="s">
        <v>475</v>
      </c>
      <c r="E76" s="88" t="s">
        <v>476</v>
      </c>
      <c r="F76" s="89">
        <v>1954</v>
      </c>
      <c r="G76" s="89">
        <v>6017</v>
      </c>
      <c r="H76" s="90">
        <v>0.32474655143759351</v>
      </c>
      <c r="I76" s="91">
        <v>0.95496417604912998</v>
      </c>
      <c r="J76" s="91">
        <v>4.6059365404298872E-3</v>
      </c>
      <c r="K76" s="89">
        <v>1182</v>
      </c>
      <c r="L76" s="89">
        <v>684</v>
      </c>
      <c r="M76" s="89">
        <v>75</v>
      </c>
      <c r="N76" s="89">
        <v>6</v>
      </c>
      <c r="O76" s="89">
        <v>3</v>
      </c>
      <c r="P76" s="89">
        <v>4</v>
      </c>
    </row>
    <row r="77" spans="1:16" x14ac:dyDescent="0.35">
      <c r="A77" s="88" t="s">
        <v>30</v>
      </c>
      <c r="B77" s="88" t="s">
        <v>134</v>
      </c>
      <c r="C77" s="88" t="s">
        <v>135</v>
      </c>
      <c r="D77" s="88" t="s">
        <v>477</v>
      </c>
      <c r="E77" s="88" t="s">
        <v>478</v>
      </c>
      <c r="F77" s="89">
        <v>390</v>
      </c>
      <c r="G77" s="89">
        <v>2574</v>
      </c>
      <c r="H77" s="90">
        <v>0.15151515151515152</v>
      </c>
      <c r="I77" s="91">
        <v>0.982051282051282</v>
      </c>
      <c r="J77" s="91">
        <v>0</v>
      </c>
      <c r="K77" s="89">
        <v>359</v>
      </c>
      <c r="L77" s="89">
        <v>24</v>
      </c>
      <c r="M77" s="89">
        <v>1</v>
      </c>
      <c r="N77" s="89">
        <v>0</v>
      </c>
      <c r="O77" s="89">
        <v>0</v>
      </c>
      <c r="P77" s="89">
        <v>6</v>
      </c>
    </row>
    <row r="78" spans="1:16" x14ac:dyDescent="0.35">
      <c r="A78" s="88" t="s">
        <v>30</v>
      </c>
      <c r="B78" s="88" t="s">
        <v>136</v>
      </c>
      <c r="C78" s="88" t="s">
        <v>137</v>
      </c>
      <c r="D78" s="88" t="s">
        <v>479</v>
      </c>
      <c r="E78" s="88" t="s">
        <v>480</v>
      </c>
      <c r="F78" s="89">
        <v>539</v>
      </c>
      <c r="G78" s="89">
        <v>3238</v>
      </c>
      <c r="H78" s="90">
        <v>0.16646077825818406</v>
      </c>
      <c r="I78" s="91">
        <v>0.75324675324675328</v>
      </c>
      <c r="J78" s="91">
        <v>0.18923933209647495</v>
      </c>
      <c r="K78" s="89">
        <v>315</v>
      </c>
      <c r="L78" s="89">
        <v>91</v>
      </c>
      <c r="M78" s="89">
        <v>23</v>
      </c>
      <c r="N78" s="89">
        <v>31</v>
      </c>
      <c r="O78" s="89">
        <v>71</v>
      </c>
      <c r="P78" s="89">
        <v>8</v>
      </c>
    </row>
    <row r="79" spans="1:16" x14ac:dyDescent="0.35">
      <c r="A79" s="88" t="s">
        <v>30</v>
      </c>
      <c r="B79" s="88" t="s">
        <v>136</v>
      </c>
      <c r="C79" s="88" t="s">
        <v>137</v>
      </c>
      <c r="D79" s="88" t="s">
        <v>481</v>
      </c>
      <c r="E79" s="88" t="s">
        <v>482</v>
      </c>
      <c r="F79" s="89">
        <v>314</v>
      </c>
      <c r="G79" s="89">
        <v>2496</v>
      </c>
      <c r="H79" s="90">
        <v>0.12580128205128205</v>
      </c>
      <c r="I79" s="91">
        <v>0.84713375796178347</v>
      </c>
      <c r="J79" s="91">
        <v>0.1178343949044586</v>
      </c>
      <c r="K79" s="89">
        <v>227</v>
      </c>
      <c r="L79" s="89">
        <v>39</v>
      </c>
      <c r="M79" s="89">
        <v>5</v>
      </c>
      <c r="N79" s="89">
        <v>13</v>
      </c>
      <c r="O79" s="89">
        <v>24</v>
      </c>
      <c r="P79" s="89">
        <v>6</v>
      </c>
    </row>
    <row r="80" spans="1:16" x14ac:dyDescent="0.35">
      <c r="A80" s="88" t="s">
        <v>30</v>
      </c>
      <c r="B80" s="88" t="s">
        <v>138</v>
      </c>
      <c r="C80" s="88" t="s">
        <v>139</v>
      </c>
      <c r="D80" s="88" t="s">
        <v>483</v>
      </c>
      <c r="E80" s="88" t="s">
        <v>484</v>
      </c>
      <c r="F80" s="89">
        <v>34</v>
      </c>
      <c r="G80" s="89">
        <v>3830</v>
      </c>
      <c r="H80" s="90">
        <v>8.8772845953002614E-3</v>
      </c>
      <c r="I80" s="91">
        <v>0.73529411764705888</v>
      </c>
      <c r="J80" s="91">
        <v>0.23529411764705882</v>
      </c>
      <c r="K80" s="89">
        <v>24</v>
      </c>
      <c r="L80" s="89">
        <v>1</v>
      </c>
      <c r="M80" s="89">
        <v>0</v>
      </c>
      <c r="N80" s="89">
        <v>2</v>
      </c>
      <c r="O80" s="89">
        <v>6</v>
      </c>
      <c r="P80" s="89">
        <v>1</v>
      </c>
    </row>
    <row r="81" spans="1:16" x14ac:dyDescent="0.35">
      <c r="A81" s="88" t="s">
        <v>30</v>
      </c>
      <c r="B81" s="88" t="s">
        <v>140</v>
      </c>
      <c r="C81" s="88" t="s">
        <v>141</v>
      </c>
      <c r="D81" s="88" t="s">
        <v>485</v>
      </c>
      <c r="E81" s="88" t="s">
        <v>486</v>
      </c>
      <c r="F81" s="89">
        <v>453</v>
      </c>
      <c r="G81" s="89">
        <v>4839</v>
      </c>
      <c r="H81" s="90">
        <v>9.3614383137011772E-2</v>
      </c>
      <c r="I81" s="91">
        <v>0.79470198675496684</v>
      </c>
      <c r="J81" s="91">
        <v>0.11037527593818984</v>
      </c>
      <c r="K81" s="89">
        <v>269</v>
      </c>
      <c r="L81" s="89">
        <v>91</v>
      </c>
      <c r="M81" s="89">
        <v>40</v>
      </c>
      <c r="N81" s="89">
        <v>23</v>
      </c>
      <c r="O81" s="89">
        <v>27</v>
      </c>
      <c r="P81" s="89">
        <v>3</v>
      </c>
    </row>
    <row r="82" spans="1:16" x14ac:dyDescent="0.35">
      <c r="A82" s="88" t="s">
        <v>30</v>
      </c>
      <c r="B82" s="88" t="s">
        <v>140</v>
      </c>
      <c r="C82" s="88" t="s">
        <v>141</v>
      </c>
      <c r="D82" s="88" t="s">
        <v>487</v>
      </c>
      <c r="E82" s="88" t="s">
        <v>488</v>
      </c>
      <c r="F82" s="89">
        <v>609</v>
      </c>
      <c r="G82" s="89">
        <v>10897</v>
      </c>
      <c r="H82" s="90">
        <v>5.5886941360007339E-2</v>
      </c>
      <c r="I82" s="91">
        <v>0.86371100164203618</v>
      </c>
      <c r="J82" s="91">
        <v>7.2249589490968796E-2</v>
      </c>
      <c r="K82" s="89">
        <v>394</v>
      </c>
      <c r="L82" s="89">
        <v>132</v>
      </c>
      <c r="M82" s="89">
        <v>34</v>
      </c>
      <c r="N82" s="89">
        <v>17</v>
      </c>
      <c r="O82" s="89">
        <v>27</v>
      </c>
      <c r="P82" s="89">
        <v>5</v>
      </c>
    </row>
    <row r="83" spans="1:16" x14ac:dyDescent="0.35">
      <c r="A83" s="88" t="s">
        <v>30</v>
      </c>
      <c r="B83" s="88" t="s">
        <v>142</v>
      </c>
      <c r="C83" s="88" t="s">
        <v>143</v>
      </c>
      <c r="D83" s="88" t="s">
        <v>489</v>
      </c>
      <c r="E83" s="88" t="s">
        <v>490</v>
      </c>
      <c r="F83" s="89">
        <v>135</v>
      </c>
      <c r="G83" s="89">
        <v>4699</v>
      </c>
      <c r="H83" s="90">
        <v>2.8729516918493295E-2</v>
      </c>
      <c r="I83" s="91">
        <v>0.78518518518518521</v>
      </c>
      <c r="J83" s="91">
        <v>0.12592592592592591</v>
      </c>
      <c r="K83" s="89">
        <v>57</v>
      </c>
      <c r="L83" s="89">
        <v>49</v>
      </c>
      <c r="M83" s="89">
        <v>11</v>
      </c>
      <c r="N83" s="89">
        <v>12</v>
      </c>
      <c r="O83" s="89">
        <v>5</v>
      </c>
      <c r="P83" s="89">
        <v>1</v>
      </c>
    </row>
    <row r="84" spans="1:16" x14ac:dyDescent="0.35">
      <c r="A84" s="88" t="s">
        <v>30</v>
      </c>
      <c r="B84" s="88" t="s">
        <v>142</v>
      </c>
      <c r="C84" s="88" t="s">
        <v>143</v>
      </c>
      <c r="D84" s="88" t="s">
        <v>491</v>
      </c>
      <c r="E84" s="88" t="s">
        <v>492</v>
      </c>
      <c r="F84" s="89">
        <v>16</v>
      </c>
      <c r="G84" s="89">
        <v>2139</v>
      </c>
      <c r="H84" s="90">
        <v>7.4801309022907905E-3</v>
      </c>
      <c r="I84" s="91">
        <v>0.625</v>
      </c>
      <c r="J84" s="91">
        <v>0.1875</v>
      </c>
      <c r="K84" s="89">
        <v>8</v>
      </c>
      <c r="L84" s="89">
        <v>2</v>
      </c>
      <c r="M84" s="89">
        <v>2</v>
      </c>
      <c r="N84" s="89">
        <v>0</v>
      </c>
      <c r="O84" s="89">
        <v>3</v>
      </c>
      <c r="P84" s="89">
        <v>1</v>
      </c>
    </row>
    <row r="85" spans="1:16" x14ac:dyDescent="0.35">
      <c r="A85" s="88" t="s">
        <v>30</v>
      </c>
      <c r="B85" s="88" t="s">
        <v>142</v>
      </c>
      <c r="C85" s="88" t="s">
        <v>143</v>
      </c>
      <c r="D85" s="88" t="s">
        <v>493</v>
      </c>
      <c r="E85" s="88" t="s">
        <v>494</v>
      </c>
      <c r="F85" s="89">
        <v>67</v>
      </c>
      <c r="G85" s="89">
        <v>5808</v>
      </c>
      <c r="H85" s="90">
        <v>1.1535812672176309E-2</v>
      </c>
      <c r="I85" s="91">
        <v>0.97014925373134331</v>
      </c>
      <c r="J85" s="91">
        <v>0</v>
      </c>
      <c r="K85" s="89">
        <v>57</v>
      </c>
      <c r="L85" s="89">
        <v>8</v>
      </c>
      <c r="M85" s="89">
        <v>2</v>
      </c>
      <c r="N85" s="89">
        <v>0</v>
      </c>
      <c r="O85" s="89">
        <v>0</v>
      </c>
      <c r="P85" s="89">
        <v>0</v>
      </c>
    </row>
    <row r="86" spans="1:16" x14ac:dyDescent="0.35">
      <c r="A86" s="88" t="s">
        <v>30</v>
      </c>
      <c r="B86" s="88" t="s">
        <v>142</v>
      </c>
      <c r="C86" s="88" t="s">
        <v>143</v>
      </c>
      <c r="D86" s="88" t="s">
        <v>495</v>
      </c>
      <c r="E86" s="88" t="s">
        <v>496</v>
      </c>
      <c r="F86" s="89">
        <v>19</v>
      </c>
      <c r="G86" s="89">
        <v>3110</v>
      </c>
      <c r="H86" s="90">
        <v>6.1093247588424439E-3</v>
      </c>
      <c r="I86" s="91">
        <v>0.78947368421052633</v>
      </c>
      <c r="J86" s="91">
        <v>5.2631578947368418E-2</v>
      </c>
      <c r="K86" s="89">
        <v>15</v>
      </c>
      <c r="L86" s="89">
        <v>0</v>
      </c>
      <c r="M86" s="89">
        <v>2</v>
      </c>
      <c r="N86" s="89">
        <v>0</v>
      </c>
      <c r="O86" s="89">
        <v>1</v>
      </c>
      <c r="P86" s="89">
        <v>1</v>
      </c>
    </row>
    <row r="87" spans="1:16" x14ac:dyDescent="0.35">
      <c r="A87" s="88" t="s">
        <v>30</v>
      </c>
      <c r="B87" s="88" t="s">
        <v>144</v>
      </c>
      <c r="C87" s="88" t="s">
        <v>145</v>
      </c>
      <c r="D87" s="88" t="s">
        <v>497</v>
      </c>
      <c r="E87" s="88" t="s">
        <v>498</v>
      </c>
      <c r="F87" s="89">
        <v>160</v>
      </c>
      <c r="G87" s="89">
        <v>16774</v>
      </c>
      <c r="H87" s="90">
        <v>9.5385715989030635E-3</v>
      </c>
      <c r="I87" s="91">
        <v>0.88749999999999996</v>
      </c>
      <c r="J87" s="91">
        <v>8.7499999999999994E-2</v>
      </c>
      <c r="K87" s="89">
        <v>128</v>
      </c>
      <c r="L87" s="89">
        <v>14</v>
      </c>
      <c r="M87" s="89">
        <v>2</v>
      </c>
      <c r="N87" s="89">
        <v>3</v>
      </c>
      <c r="O87" s="89">
        <v>11</v>
      </c>
      <c r="P87" s="89">
        <v>2</v>
      </c>
    </row>
    <row r="88" spans="1:16" x14ac:dyDescent="0.35">
      <c r="A88" s="88" t="s">
        <v>32</v>
      </c>
      <c r="B88" s="88" t="s">
        <v>146</v>
      </c>
      <c r="C88" s="88" t="s">
        <v>147</v>
      </c>
      <c r="D88" s="88" t="s">
        <v>499</v>
      </c>
      <c r="E88" s="88" t="s">
        <v>500</v>
      </c>
      <c r="F88" s="89">
        <v>739</v>
      </c>
      <c r="G88" s="89">
        <v>4244</v>
      </c>
      <c r="H88" s="90">
        <v>0.17412818096135721</v>
      </c>
      <c r="I88" s="91">
        <v>0.86738836265223274</v>
      </c>
      <c r="J88" s="91">
        <v>9.6075778078484442E-2</v>
      </c>
      <c r="K88" s="89">
        <v>532</v>
      </c>
      <c r="L88" s="89">
        <v>109</v>
      </c>
      <c r="M88" s="89">
        <v>21</v>
      </c>
      <c r="N88" s="89">
        <v>24</v>
      </c>
      <c r="O88" s="89">
        <v>47</v>
      </c>
      <c r="P88" s="89">
        <v>6</v>
      </c>
    </row>
    <row r="89" spans="1:16" x14ac:dyDescent="0.35">
      <c r="A89" s="88" t="s">
        <v>32</v>
      </c>
      <c r="B89" s="88" t="s">
        <v>148</v>
      </c>
      <c r="C89" s="88" t="s">
        <v>149</v>
      </c>
      <c r="D89" s="88" t="s">
        <v>501</v>
      </c>
      <c r="E89" s="88" t="s">
        <v>502</v>
      </c>
      <c r="F89" s="89">
        <v>186</v>
      </c>
      <c r="G89" s="89">
        <v>5200</v>
      </c>
      <c r="H89" s="90">
        <v>3.5769230769230768E-2</v>
      </c>
      <c r="I89" s="91">
        <v>0.82795698924731187</v>
      </c>
      <c r="J89" s="91">
        <v>6.4516129032258063E-2</v>
      </c>
      <c r="K89" s="89">
        <v>106</v>
      </c>
      <c r="L89" s="89">
        <v>48</v>
      </c>
      <c r="M89" s="89">
        <v>10</v>
      </c>
      <c r="N89" s="89">
        <v>7</v>
      </c>
      <c r="O89" s="89">
        <v>5</v>
      </c>
      <c r="P89" s="89">
        <v>10</v>
      </c>
    </row>
    <row r="90" spans="1:16" x14ac:dyDescent="0.35">
      <c r="A90" s="88" t="s">
        <v>32</v>
      </c>
      <c r="B90" s="88" t="s">
        <v>150</v>
      </c>
      <c r="C90" s="88" t="s">
        <v>151</v>
      </c>
      <c r="D90" s="88" t="s">
        <v>503</v>
      </c>
      <c r="E90" s="88" t="s">
        <v>504</v>
      </c>
      <c r="F90" s="89">
        <v>646</v>
      </c>
      <c r="G90" s="89">
        <v>3953</v>
      </c>
      <c r="H90" s="90">
        <v>0.16342018719959525</v>
      </c>
      <c r="I90" s="91">
        <v>0.76470588235294112</v>
      </c>
      <c r="J90" s="91">
        <v>0.14551083591331268</v>
      </c>
      <c r="K90" s="89">
        <v>408</v>
      </c>
      <c r="L90" s="89">
        <v>86</v>
      </c>
      <c r="M90" s="89">
        <v>50</v>
      </c>
      <c r="N90" s="89">
        <v>32</v>
      </c>
      <c r="O90" s="89">
        <v>62</v>
      </c>
      <c r="P90" s="89">
        <v>8</v>
      </c>
    </row>
    <row r="91" spans="1:16" x14ac:dyDescent="0.35">
      <c r="A91" s="88" t="s">
        <v>32</v>
      </c>
      <c r="B91" s="88" t="s">
        <v>152</v>
      </c>
      <c r="C91" s="88" t="s">
        <v>153</v>
      </c>
      <c r="D91" s="88" t="s">
        <v>505</v>
      </c>
      <c r="E91" s="88" t="s">
        <v>506</v>
      </c>
      <c r="F91" s="89">
        <v>53</v>
      </c>
      <c r="G91" s="89">
        <v>215</v>
      </c>
      <c r="H91" s="90">
        <v>0.24651162790697675</v>
      </c>
      <c r="I91" s="91">
        <v>0.94339622641509435</v>
      </c>
      <c r="J91" s="91">
        <v>3.7735849056603772E-2</v>
      </c>
      <c r="K91" s="89">
        <v>45</v>
      </c>
      <c r="L91" s="89">
        <v>5</v>
      </c>
      <c r="M91" s="89">
        <v>1</v>
      </c>
      <c r="N91" s="89">
        <v>0</v>
      </c>
      <c r="O91" s="89">
        <v>2</v>
      </c>
      <c r="P91" s="89">
        <v>0</v>
      </c>
    </row>
    <row r="92" spans="1:16" x14ac:dyDescent="0.35">
      <c r="A92" s="88" t="s">
        <v>32</v>
      </c>
      <c r="B92" s="88" t="s">
        <v>152</v>
      </c>
      <c r="C92" s="88" t="s">
        <v>153</v>
      </c>
      <c r="D92" s="88" t="s">
        <v>507</v>
      </c>
      <c r="E92" s="88" t="s">
        <v>508</v>
      </c>
      <c r="F92" s="89">
        <v>609</v>
      </c>
      <c r="G92" s="89">
        <v>3122</v>
      </c>
      <c r="H92" s="90">
        <v>0.19506726457399104</v>
      </c>
      <c r="I92" s="91">
        <v>0.82922824302134646</v>
      </c>
      <c r="J92" s="91">
        <v>0.11658456486042693</v>
      </c>
      <c r="K92" s="89">
        <v>415</v>
      </c>
      <c r="L92" s="89">
        <v>90</v>
      </c>
      <c r="M92" s="89">
        <v>26</v>
      </c>
      <c r="N92" s="89">
        <v>27</v>
      </c>
      <c r="O92" s="89">
        <v>44</v>
      </c>
      <c r="P92" s="89">
        <v>7</v>
      </c>
    </row>
    <row r="93" spans="1:16" x14ac:dyDescent="0.35">
      <c r="A93" s="88" t="s">
        <v>32</v>
      </c>
      <c r="B93" s="88" t="s">
        <v>154</v>
      </c>
      <c r="C93" s="88" t="s">
        <v>155</v>
      </c>
      <c r="D93" s="88" t="s">
        <v>509</v>
      </c>
      <c r="E93" s="88" t="s">
        <v>510</v>
      </c>
      <c r="F93" s="89">
        <v>27</v>
      </c>
      <c r="G93" s="89">
        <v>1045</v>
      </c>
      <c r="H93" s="90">
        <v>2.583732057416268E-2</v>
      </c>
      <c r="I93" s="91">
        <v>0.92592592592592593</v>
      </c>
      <c r="J93" s="91">
        <v>0</v>
      </c>
      <c r="K93" s="89">
        <v>15</v>
      </c>
      <c r="L93" s="89">
        <v>10</v>
      </c>
      <c r="M93" s="89">
        <v>1</v>
      </c>
      <c r="N93" s="89">
        <v>0</v>
      </c>
      <c r="O93" s="89">
        <v>0</v>
      </c>
      <c r="P93" s="89">
        <v>1</v>
      </c>
    </row>
    <row r="94" spans="1:16" x14ac:dyDescent="0.35">
      <c r="A94" s="88" t="s">
        <v>32</v>
      </c>
      <c r="B94" s="88" t="s">
        <v>156</v>
      </c>
      <c r="C94" s="88" t="s">
        <v>157</v>
      </c>
      <c r="D94" s="88" t="s">
        <v>511</v>
      </c>
      <c r="E94" s="88" t="s">
        <v>512</v>
      </c>
      <c r="F94" s="89">
        <v>744</v>
      </c>
      <c r="G94" s="89">
        <v>5049</v>
      </c>
      <c r="H94" s="90">
        <v>0.14735591206179441</v>
      </c>
      <c r="I94" s="91">
        <v>0.793010752688172</v>
      </c>
      <c r="J94" s="91">
        <v>0.14381720430107528</v>
      </c>
      <c r="K94" s="89">
        <v>444</v>
      </c>
      <c r="L94" s="89">
        <v>146</v>
      </c>
      <c r="M94" s="89">
        <v>36</v>
      </c>
      <c r="N94" s="89">
        <v>41</v>
      </c>
      <c r="O94" s="89">
        <v>66</v>
      </c>
      <c r="P94" s="89">
        <v>11</v>
      </c>
    </row>
    <row r="95" spans="1:16" x14ac:dyDescent="0.35">
      <c r="A95" s="88" t="s">
        <v>32</v>
      </c>
      <c r="B95" s="88" t="s">
        <v>156</v>
      </c>
      <c r="C95" s="88" t="s">
        <v>157</v>
      </c>
      <c r="D95" s="88" t="s">
        <v>513</v>
      </c>
      <c r="E95" s="88" t="s">
        <v>514</v>
      </c>
      <c r="F95" s="89">
        <v>487</v>
      </c>
      <c r="G95" s="89">
        <v>2506</v>
      </c>
      <c r="H95" s="90">
        <v>0.19433359936153233</v>
      </c>
      <c r="I95" s="91">
        <v>0.93223819301848054</v>
      </c>
      <c r="J95" s="91">
        <v>4.7227926078028747E-2</v>
      </c>
      <c r="K95" s="89">
        <v>405</v>
      </c>
      <c r="L95" s="89">
        <v>49</v>
      </c>
      <c r="M95" s="89">
        <v>7</v>
      </c>
      <c r="N95" s="89">
        <v>10</v>
      </c>
      <c r="O95" s="89">
        <v>13</v>
      </c>
      <c r="P95" s="89">
        <v>3</v>
      </c>
    </row>
    <row r="96" spans="1:16" x14ac:dyDescent="0.35">
      <c r="A96" s="88" t="s">
        <v>32</v>
      </c>
      <c r="B96" s="88" t="s">
        <v>158</v>
      </c>
      <c r="C96" s="88" t="s">
        <v>159</v>
      </c>
      <c r="D96" s="88" t="s">
        <v>515</v>
      </c>
      <c r="E96" s="88" t="s">
        <v>516</v>
      </c>
      <c r="F96" s="89">
        <v>798</v>
      </c>
      <c r="G96" s="89">
        <v>4567</v>
      </c>
      <c r="H96" s="90">
        <v>0.17473177140354718</v>
      </c>
      <c r="I96" s="91">
        <v>0.81328320802005016</v>
      </c>
      <c r="J96" s="91">
        <v>0.13032581453634084</v>
      </c>
      <c r="K96" s="89">
        <v>479</v>
      </c>
      <c r="L96" s="89">
        <v>170</v>
      </c>
      <c r="M96" s="89">
        <v>31</v>
      </c>
      <c r="N96" s="89">
        <v>29</v>
      </c>
      <c r="O96" s="89">
        <v>75</v>
      </c>
      <c r="P96" s="89">
        <v>14</v>
      </c>
    </row>
    <row r="97" spans="1:16" x14ac:dyDescent="0.35">
      <c r="A97" s="88" t="s">
        <v>32</v>
      </c>
      <c r="B97" s="88" t="s">
        <v>160</v>
      </c>
      <c r="C97" s="88" t="s">
        <v>161</v>
      </c>
      <c r="D97" s="88" t="s">
        <v>517</v>
      </c>
      <c r="E97" s="88" t="s">
        <v>518</v>
      </c>
      <c r="F97" s="89">
        <v>31</v>
      </c>
      <c r="G97" s="89">
        <v>2233</v>
      </c>
      <c r="H97" s="90">
        <v>1.3882669055082848E-2</v>
      </c>
      <c r="I97" s="91">
        <v>0.90322580645161288</v>
      </c>
      <c r="J97" s="91">
        <v>6.4516129032258063E-2</v>
      </c>
      <c r="K97" s="89">
        <v>24</v>
      </c>
      <c r="L97" s="89">
        <v>4</v>
      </c>
      <c r="M97" s="89">
        <v>1</v>
      </c>
      <c r="N97" s="89">
        <v>0</v>
      </c>
      <c r="O97" s="89">
        <v>2</v>
      </c>
      <c r="P97" s="89">
        <v>0</v>
      </c>
    </row>
    <row r="98" spans="1:16" x14ac:dyDescent="0.35">
      <c r="A98" s="88" t="s">
        <v>32</v>
      </c>
      <c r="B98" s="88" t="s">
        <v>160</v>
      </c>
      <c r="C98" s="88" t="s">
        <v>161</v>
      </c>
      <c r="D98" s="88" t="s">
        <v>519</v>
      </c>
      <c r="E98" s="88" t="s">
        <v>520</v>
      </c>
      <c r="F98" s="89">
        <v>45</v>
      </c>
      <c r="G98" s="89">
        <v>2862</v>
      </c>
      <c r="H98" s="90">
        <v>1.5723270440251572E-2</v>
      </c>
      <c r="I98" s="91">
        <v>0.8666666666666667</v>
      </c>
      <c r="J98" s="91">
        <v>0.1111111111111111</v>
      </c>
      <c r="K98" s="89">
        <v>34</v>
      </c>
      <c r="L98" s="89">
        <v>5</v>
      </c>
      <c r="M98" s="89">
        <v>1</v>
      </c>
      <c r="N98" s="89">
        <v>0</v>
      </c>
      <c r="O98" s="89">
        <v>5</v>
      </c>
      <c r="P98" s="89">
        <v>0</v>
      </c>
    </row>
    <row r="99" spans="1:16" x14ac:dyDescent="0.35">
      <c r="A99" s="88" t="s">
        <v>32</v>
      </c>
      <c r="B99" s="88" t="s">
        <v>162</v>
      </c>
      <c r="C99" s="88" t="s">
        <v>163</v>
      </c>
      <c r="D99" s="88" t="s">
        <v>521</v>
      </c>
      <c r="E99" s="88" t="s">
        <v>522</v>
      </c>
      <c r="F99" s="89">
        <v>772</v>
      </c>
      <c r="G99" s="89">
        <v>4097</v>
      </c>
      <c r="H99" s="90">
        <v>0.18843055894556993</v>
      </c>
      <c r="I99" s="91">
        <v>0.83678756476683935</v>
      </c>
      <c r="J99" s="91">
        <v>0.11139896373056994</v>
      </c>
      <c r="K99" s="89">
        <v>533</v>
      </c>
      <c r="L99" s="89">
        <v>113</v>
      </c>
      <c r="M99" s="89">
        <v>34</v>
      </c>
      <c r="N99" s="89">
        <v>37</v>
      </c>
      <c r="O99" s="89">
        <v>49</v>
      </c>
      <c r="P99" s="89">
        <v>6</v>
      </c>
    </row>
    <row r="100" spans="1:16" x14ac:dyDescent="0.35">
      <c r="A100" s="88" t="s">
        <v>32</v>
      </c>
      <c r="B100" s="88" t="s">
        <v>164</v>
      </c>
      <c r="C100" s="88" t="s">
        <v>165</v>
      </c>
      <c r="D100" s="88" t="s">
        <v>523</v>
      </c>
      <c r="E100" s="88" t="s">
        <v>524</v>
      </c>
      <c r="F100" s="89">
        <v>522</v>
      </c>
      <c r="G100" s="89">
        <v>2686</v>
      </c>
      <c r="H100" s="90">
        <v>0.19434102755026061</v>
      </c>
      <c r="I100" s="91">
        <v>0.84865900383141768</v>
      </c>
      <c r="J100" s="91">
        <v>0.11877394636015326</v>
      </c>
      <c r="K100" s="89">
        <v>366</v>
      </c>
      <c r="L100" s="89">
        <v>77</v>
      </c>
      <c r="M100" s="89">
        <v>12</v>
      </c>
      <c r="N100" s="89">
        <v>27</v>
      </c>
      <c r="O100" s="89">
        <v>35</v>
      </c>
      <c r="P100" s="89">
        <v>5</v>
      </c>
    </row>
    <row r="101" spans="1:16" x14ac:dyDescent="0.35">
      <c r="A101" s="88" t="s">
        <v>32</v>
      </c>
      <c r="B101" s="88" t="s">
        <v>164</v>
      </c>
      <c r="C101" s="88" t="s">
        <v>165</v>
      </c>
      <c r="D101" s="88" t="s">
        <v>525</v>
      </c>
      <c r="E101" s="88" t="s">
        <v>526</v>
      </c>
      <c r="F101" s="89">
        <v>993</v>
      </c>
      <c r="G101" s="89">
        <v>5254</v>
      </c>
      <c r="H101" s="90">
        <v>0.18899885801294253</v>
      </c>
      <c r="I101" s="91">
        <v>0.7995971802618328</v>
      </c>
      <c r="J101" s="91">
        <v>0.14098690835850958</v>
      </c>
      <c r="K101" s="89">
        <v>622</v>
      </c>
      <c r="L101" s="89">
        <v>172</v>
      </c>
      <c r="M101" s="89">
        <v>48</v>
      </c>
      <c r="N101" s="89">
        <v>50</v>
      </c>
      <c r="O101" s="89">
        <v>90</v>
      </c>
      <c r="P101" s="89">
        <v>11</v>
      </c>
    </row>
    <row r="102" spans="1:16" x14ac:dyDescent="0.35">
      <c r="A102" s="88" t="s">
        <v>32</v>
      </c>
      <c r="B102" s="88" t="s">
        <v>166</v>
      </c>
      <c r="C102" s="88" t="s">
        <v>167</v>
      </c>
      <c r="D102" s="88" t="s">
        <v>527</v>
      </c>
      <c r="E102" s="88" t="s">
        <v>528</v>
      </c>
      <c r="F102" s="89">
        <v>680</v>
      </c>
      <c r="G102" s="89">
        <v>5909</v>
      </c>
      <c r="H102" s="90">
        <v>0.11507869351836182</v>
      </c>
      <c r="I102" s="91">
        <v>0.90588235294117647</v>
      </c>
      <c r="J102" s="91">
        <v>5.4411764705882354E-2</v>
      </c>
      <c r="K102" s="89">
        <v>525</v>
      </c>
      <c r="L102" s="89">
        <v>91</v>
      </c>
      <c r="M102" s="89">
        <v>23</v>
      </c>
      <c r="N102" s="89">
        <v>13</v>
      </c>
      <c r="O102" s="89">
        <v>24</v>
      </c>
      <c r="P102" s="89">
        <v>4</v>
      </c>
    </row>
    <row r="103" spans="1:16" x14ac:dyDescent="0.35">
      <c r="A103" s="88" t="s">
        <v>38</v>
      </c>
      <c r="B103" s="88" t="s">
        <v>168</v>
      </c>
      <c r="C103" s="88" t="s">
        <v>169</v>
      </c>
      <c r="D103" s="88" t="s">
        <v>529</v>
      </c>
      <c r="E103" s="88" t="s">
        <v>530</v>
      </c>
      <c r="F103" s="89">
        <v>440</v>
      </c>
      <c r="G103" s="89">
        <v>5666</v>
      </c>
      <c r="H103" s="90">
        <v>7.7656194846452517E-2</v>
      </c>
      <c r="I103" s="91">
        <v>0.78863636363636369</v>
      </c>
      <c r="J103" s="91">
        <v>0.12272727272727273</v>
      </c>
      <c r="K103" s="89">
        <v>254</v>
      </c>
      <c r="L103" s="89">
        <v>93</v>
      </c>
      <c r="M103" s="89">
        <v>32</v>
      </c>
      <c r="N103" s="89">
        <v>28</v>
      </c>
      <c r="O103" s="89">
        <v>26</v>
      </c>
      <c r="P103" s="89">
        <v>7</v>
      </c>
    </row>
    <row r="104" spans="1:16" x14ac:dyDescent="0.35">
      <c r="A104" s="88" t="s">
        <v>38</v>
      </c>
      <c r="B104" s="88" t="s">
        <v>170</v>
      </c>
      <c r="C104" s="88" t="s">
        <v>171</v>
      </c>
      <c r="D104" s="88" t="s">
        <v>531</v>
      </c>
      <c r="E104" s="88" t="s">
        <v>532</v>
      </c>
      <c r="F104" s="89">
        <v>1158</v>
      </c>
      <c r="G104" s="89">
        <v>11229</v>
      </c>
      <c r="H104" s="90">
        <v>0.10312583489179802</v>
      </c>
      <c r="I104" s="91">
        <v>0.87219343696027629</v>
      </c>
      <c r="J104" s="91">
        <v>7.3402417962003461E-2</v>
      </c>
      <c r="K104" s="89">
        <v>853</v>
      </c>
      <c r="L104" s="89">
        <v>157</v>
      </c>
      <c r="M104" s="89">
        <v>37</v>
      </c>
      <c r="N104" s="89">
        <v>18</v>
      </c>
      <c r="O104" s="89">
        <v>67</v>
      </c>
      <c r="P104" s="89">
        <v>26</v>
      </c>
    </row>
    <row r="105" spans="1:16" x14ac:dyDescent="0.35">
      <c r="A105" s="88" t="s">
        <v>38</v>
      </c>
      <c r="B105" s="88" t="s">
        <v>172</v>
      </c>
      <c r="C105" s="88" t="s">
        <v>173</v>
      </c>
      <c r="D105" s="88" t="s">
        <v>533</v>
      </c>
      <c r="E105" s="88" t="s">
        <v>534</v>
      </c>
      <c r="F105" s="89">
        <v>329</v>
      </c>
      <c r="G105" s="89">
        <v>6881</v>
      </c>
      <c r="H105" s="90">
        <v>4.7812817904374368E-2</v>
      </c>
      <c r="I105" s="91">
        <v>0.86626139817629177</v>
      </c>
      <c r="J105" s="91">
        <v>7.9027355623100301E-2</v>
      </c>
      <c r="K105" s="89">
        <v>216</v>
      </c>
      <c r="L105" s="89">
        <v>69</v>
      </c>
      <c r="M105" s="89">
        <v>17</v>
      </c>
      <c r="N105" s="89">
        <v>13</v>
      </c>
      <c r="O105" s="89">
        <v>13</v>
      </c>
      <c r="P105" s="89">
        <v>1</v>
      </c>
    </row>
    <row r="106" spans="1:16" x14ac:dyDescent="0.35">
      <c r="A106" s="88" t="s">
        <v>38</v>
      </c>
      <c r="B106" s="88" t="s">
        <v>172</v>
      </c>
      <c r="C106" s="88" t="s">
        <v>173</v>
      </c>
      <c r="D106" s="88" t="s">
        <v>535</v>
      </c>
      <c r="E106" s="88" t="s">
        <v>536</v>
      </c>
      <c r="F106" s="89">
        <v>663</v>
      </c>
      <c r="G106" s="89">
        <v>2263</v>
      </c>
      <c r="H106" s="90">
        <v>0.29297392841361025</v>
      </c>
      <c r="I106" s="91">
        <v>0.93514328808446456</v>
      </c>
      <c r="J106" s="91">
        <v>3.1674208144796379E-2</v>
      </c>
      <c r="K106" s="89">
        <v>492</v>
      </c>
      <c r="L106" s="89">
        <v>128</v>
      </c>
      <c r="M106" s="89">
        <v>21</v>
      </c>
      <c r="N106" s="89">
        <v>11</v>
      </c>
      <c r="O106" s="89">
        <v>10</v>
      </c>
      <c r="P106" s="89">
        <v>1</v>
      </c>
    </row>
    <row r="107" spans="1:16" x14ac:dyDescent="0.35">
      <c r="A107" s="88" t="s">
        <v>38</v>
      </c>
      <c r="B107" s="88" t="s">
        <v>174</v>
      </c>
      <c r="C107" s="88" t="s">
        <v>175</v>
      </c>
      <c r="D107" s="88" t="s">
        <v>537</v>
      </c>
      <c r="E107" s="88" t="s">
        <v>538</v>
      </c>
      <c r="F107" s="89">
        <v>422</v>
      </c>
      <c r="G107" s="89">
        <v>4255</v>
      </c>
      <c r="H107" s="90">
        <v>9.9177438307873095E-2</v>
      </c>
      <c r="I107" s="91">
        <v>0.96208530805687209</v>
      </c>
      <c r="J107" s="91">
        <v>4.7393364928909956E-3</v>
      </c>
      <c r="K107" s="89">
        <v>349</v>
      </c>
      <c r="L107" s="89">
        <v>57</v>
      </c>
      <c r="M107" s="89">
        <v>7</v>
      </c>
      <c r="N107" s="89">
        <v>1</v>
      </c>
      <c r="O107" s="89">
        <v>1</v>
      </c>
      <c r="P107" s="89">
        <v>7</v>
      </c>
    </row>
    <row r="108" spans="1:16" x14ac:dyDescent="0.35">
      <c r="A108" s="88" t="s">
        <v>38</v>
      </c>
      <c r="B108" s="88" t="s">
        <v>174</v>
      </c>
      <c r="C108" s="88" t="s">
        <v>175</v>
      </c>
      <c r="D108" s="88" t="s">
        <v>539</v>
      </c>
      <c r="E108" s="88" t="s">
        <v>540</v>
      </c>
      <c r="F108" s="89">
        <v>153</v>
      </c>
      <c r="G108" s="89">
        <v>4424</v>
      </c>
      <c r="H108" s="90">
        <v>3.4584086799276673E-2</v>
      </c>
      <c r="I108" s="91">
        <v>0.92810457516339873</v>
      </c>
      <c r="J108" s="91">
        <v>1.3071895424836602E-2</v>
      </c>
      <c r="K108" s="89">
        <v>104</v>
      </c>
      <c r="L108" s="89">
        <v>38</v>
      </c>
      <c r="M108" s="89">
        <v>6</v>
      </c>
      <c r="N108" s="89">
        <v>2</v>
      </c>
      <c r="O108" s="89">
        <v>0</v>
      </c>
      <c r="P108" s="89">
        <v>3</v>
      </c>
    </row>
    <row r="109" spans="1:16" x14ac:dyDescent="0.35">
      <c r="A109" s="88" t="s">
        <v>38</v>
      </c>
      <c r="B109" s="88" t="s">
        <v>176</v>
      </c>
      <c r="C109" s="88" t="s">
        <v>177</v>
      </c>
      <c r="D109" s="88" t="s">
        <v>541</v>
      </c>
      <c r="E109" s="88" t="s">
        <v>542</v>
      </c>
      <c r="F109" s="89">
        <v>249</v>
      </c>
      <c r="G109" s="89">
        <v>4417</v>
      </c>
      <c r="H109" s="90">
        <v>5.6373103916685534E-2</v>
      </c>
      <c r="I109" s="91">
        <v>0.76305220883534142</v>
      </c>
      <c r="J109" s="91">
        <v>0.13253012048192772</v>
      </c>
      <c r="K109" s="89">
        <v>119</v>
      </c>
      <c r="L109" s="89">
        <v>71</v>
      </c>
      <c r="M109" s="89">
        <v>23</v>
      </c>
      <c r="N109" s="89">
        <v>17</v>
      </c>
      <c r="O109" s="89">
        <v>16</v>
      </c>
      <c r="P109" s="89">
        <v>3</v>
      </c>
    </row>
    <row r="110" spans="1:16" x14ac:dyDescent="0.35">
      <c r="A110" s="88" t="s">
        <v>38</v>
      </c>
      <c r="B110" s="88" t="s">
        <v>176</v>
      </c>
      <c r="C110" s="88" t="s">
        <v>177</v>
      </c>
      <c r="D110" s="88" t="s">
        <v>543</v>
      </c>
      <c r="E110" s="88" t="s">
        <v>544</v>
      </c>
      <c r="F110" s="89">
        <v>524</v>
      </c>
      <c r="G110" s="89">
        <v>8960</v>
      </c>
      <c r="H110" s="90">
        <v>5.8482142857142858E-2</v>
      </c>
      <c r="I110" s="91">
        <v>0.71564885496183206</v>
      </c>
      <c r="J110" s="91">
        <v>0.18320610687022901</v>
      </c>
      <c r="K110" s="89">
        <v>248</v>
      </c>
      <c r="L110" s="89">
        <v>127</v>
      </c>
      <c r="M110" s="89">
        <v>47</v>
      </c>
      <c r="N110" s="89">
        <v>44</v>
      </c>
      <c r="O110" s="89">
        <v>52</v>
      </c>
      <c r="P110" s="89">
        <v>6</v>
      </c>
    </row>
    <row r="111" spans="1:16" x14ac:dyDescent="0.35">
      <c r="A111" s="88" t="s">
        <v>38</v>
      </c>
      <c r="B111" s="88" t="s">
        <v>176</v>
      </c>
      <c r="C111" s="88" t="s">
        <v>177</v>
      </c>
      <c r="D111" s="88" t="s">
        <v>545</v>
      </c>
      <c r="E111" s="88" t="s">
        <v>546</v>
      </c>
      <c r="F111" s="89">
        <v>103</v>
      </c>
      <c r="G111" s="89">
        <v>2909</v>
      </c>
      <c r="H111" s="90">
        <v>3.5407356479889997E-2</v>
      </c>
      <c r="I111" s="91">
        <v>0.93203883495145634</v>
      </c>
      <c r="J111" s="91">
        <v>3.8834951456310676E-2</v>
      </c>
      <c r="K111" s="89">
        <v>76</v>
      </c>
      <c r="L111" s="89">
        <v>20</v>
      </c>
      <c r="M111" s="89">
        <v>1</v>
      </c>
      <c r="N111" s="89">
        <v>2</v>
      </c>
      <c r="O111" s="89">
        <v>2</v>
      </c>
      <c r="P111" s="89">
        <v>2</v>
      </c>
    </row>
    <row r="112" spans="1:16" x14ac:dyDescent="0.35">
      <c r="A112" s="88" t="s">
        <v>38</v>
      </c>
      <c r="B112" s="88" t="s">
        <v>176</v>
      </c>
      <c r="C112" s="88" t="s">
        <v>177</v>
      </c>
      <c r="D112" s="88" t="s">
        <v>547</v>
      </c>
      <c r="E112" s="88" t="s">
        <v>548</v>
      </c>
      <c r="F112" s="89">
        <v>102</v>
      </c>
      <c r="G112" s="89">
        <v>3277</v>
      </c>
      <c r="H112" s="90">
        <v>3.1126029905401281E-2</v>
      </c>
      <c r="I112" s="91">
        <v>0.89215686274509809</v>
      </c>
      <c r="J112" s="91">
        <v>3.9215686274509803E-2</v>
      </c>
      <c r="K112" s="89">
        <v>77</v>
      </c>
      <c r="L112" s="89">
        <v>14</v>
      </c>
      <c r="M112" s="89">
        <v>6</v>
      </c>
      <c r="N112" s="89">
        <v>2</v>
      </c>
      <c r="O112" s="89">
        <v>2</v>
      </c>
      <c r="P112" s="89">
        <v>1</v>
      </c>
    </row>
    <row r="113" spans="1:16" x14ac:dyDescent="0.35">
      <c r="A113" s="88" t="s">
        <v>38</v>
      </c>
      <c r="B113" s="88" t="s">
        <v>178</v>
      </c>
      <c r="C113" s="88" t="s">
        <v>179</v>
      </c>
      <c r="D113" s="88" t="s">
        <v>549</v>
      </c>
      <c r="E113" s="88" t="s">
        <v>550</v>
      </c>
      <c r="F113" s="89">
        <v>793</v>
      </c>
      <c r="G113" s="89">
        <v>3076</v>
      </c>
      <c r="H113" s="90">
        <v>0.25780234070221064</v>
      </c>
      <c r="I113" s="91">
        <v>0.72131147540983609</v>
      </c>
      <c r="J113" s="91">
        <v>0.16519546027742749</v>
      </c>
      <c r="K113" s="89">
        <v>449</v>
      </c>
      <c r="L113" s="89">
        <v>123</v>
      </c>
      <c r="M113" s="89">
        <v>67</v>
      </c>
      <c r="N113" s="89">
        <v>50</v>
      </c>
      <c r="O113" s="89">
        <v>81</v>
      </c>
      <c r="P113" s="89">
        <v>23</v>
      </c>
    </row>
    <row r="114" spans="1:16" x14ac:dyDescent="0.35">
      <c r="A114" s="88" t="s">
        <v>38</v>
      </c>
      <c r="B114" s="88" t="s">
        <v>178</v>
      </c>
      <c r="C114" s="88" t="s">
        <v>179</v>
      </c>
      <c r="D114" s="88" t="s">
        <v>551</v>
      </c>
      <c r="E114" s="88" t="s">
        <v>552</v>
      </c>
      <c r="F114" s="89">
        <v>2477</v>
      </c>
      <c r="G114" s="89">
        <v>6525</v>
      </c>
      <c r="H114" s="90">
        <v>0.37961685823754787</v>
      </c>
      <c r="I114" s="91">
        <v>0.62252725070649984</v>
      </c>
      <c r="J114" s="91">
        <v>0.23092450545014129</v>
      </c>
      <c r="K114" s="89">
        <v>1239</v>
      </c>
      <c r="L114" s="89">
        <v>303</v>
      </c>
      <c r="M114" s="89">
        <v>247</v>
      </c>
      <c r="N114" s="89">
        <v>195</v>
      </c>
      <c r="O114" s="89">
        <v>377</v>
      </c>
      <c r="P114" s="89">
        <v>116</v>
      </c>
    </row>
    <row r="115" spans="1:16" x14ac:dyDescent="0.35">
      <c r="A115" s="88" t="s">
        <v>38</v>
      </c>
      <c r="B115" s="88" t="s">
        <v>178</v>
      </c>
      <c r="C115" s="88" t="s">
        <v>179</v>
      </c>
      <c r="D115" s="88" t="s">
        <v>553</v>
      </c>
      <c r="E115" s="88" t="s">
        <v>554</v>
      </c>
      <c r="F115" s="89">
        <v>1054</v>
      </c>
      <c r="G115" s="89">
        <v>4973</v>
      </c>
      <c r="H115" s="90">
        <v>0.21194450030162879</v>
      </c>
      <c r="I115" s="91">
        <v>0.6736242884250474</v>
      </c>
      <c r="J115" s="91">
        <v>0.198292220113852</v>
      </c>
      <c r="K115" s="89">
        <v>590</v>
      </c>
      <c r="L115" s="89">
        <v>120</v>
      </c>
      <c r="M115" s="89">
        <v>96</v>
      </c>
      <c r="N115" s="89">
        <v>57</v>
      </c>
      <c r="O115" s="89">
        <v>152</v>
      </c>
      <c r="P115" s="89">
        <v>39</v>
      </c>
    </row>
    <row r="116" spans="1:16" x14ac:dyDescent="0.35">
      <c r="A116" s="88" t="s">
        <v>40</v>
      </c>
      <c r="B116" s="88" t="s">
        <v>180</v>
      </c>
      <c r="C116" s="88" t="s">
        <v>181</v>
      </c>
      <c r="D116" s="88" t="s">
        <v>555</v>
      </c>
      <c r="E116" s="88" t="s">
        <v>556</v>
      </c>
      <c r="F116" s="89">
        <v>17</v>
      </c>
      <c r="G116" s="89">
        <v>5059</v>
      </c>
      <c r="H116" s="90">
        <v>3.3603478948408777E-3</v>
      </c>
      <c r="I116" s="91">
        <v>0.94117647058823528</v>
      </c>
      <c r="J116" s="91">
        <v>5.8823529411764705E-2</v>
      </c>
      <c r="K116" s="89">
        <v>16</v>
      </c>
      <c r="L116" s="89">
        <v>0</v>
      </c>
      <c r="M116" s="89">
        <v>0</v>
      </c>
      <c r="N116" s="89">
        <v>1</v>
      </c>
      <c r="O116" s="89">
        <v>0</v>
      </c>
      <c r="P116" s="89">
        <v>0</v>
      </c>
    </row>
    <row r="117" spans="1:16" x14ac:dyDescent="0.35">
      <c r="A117" s="88" t="s">
        <v>40</v>
      </c>
      <c r="B117" s="88" t="s">
        <v>182</v>
      </c>
      <c r="C117" s="88" t="s">
        <v>183</v>
      </c>
      <c r="D117" s="88" t="s">
        <v>557</v>
      </c>
      <c r="E117" s="88" t="s">
        <v>558</v>
      </c>
      <c r="F117" s="89">
        <v>1356</v>
      </c>
      <c r="G117" s="89">
        <v>6257</v>
      </c>
      <c r="H117" s="90">
        <v>0.21671727665015184</v>
      </c>
      <c r="I117" s="91">
        <v>0.85988200589970498</v>
      </c>
      <c r="J117" s="91">
        <v>7.7433628318584066E-2</v>
      </c>
      <c r="K117" s="89">
        <v>903</v>
      </c>
      <c r="L117" s="89">
        <v>263</v>
      </c>
      <c r="M117" s="89">
        <v>52</v>
      </c>
      <c r="N117" s="89">
        <v>44</v>
      </c>
      <c r="O117" s="89">
        <v>61</v>
      </c>
      <c r="P117" s="89">
        <v>33</v>
      </c>
    </row>
    <row r="118" spans="1:16" x14ac:dyDescent="0.35">
      <c r="A118" s="88" t="s">
        <v>40</v>
      </c>
      <c r="B118" s="88" t="s">
        <v>184</v>
      </c>
      <c r="C118" s="88" t="s">
        <v>185</v>
      </c>
      <c r="D118" s="88" t="s">
        <v>559</v>
      </c>
      <c r="E118" s="88" t="s">
        <v>560</v>
      </c>
      <c r="F118" s="89">
        <v>228</v>
      </c>
      <c r="G118" s="89">
        <v>1542</v>
      </c>
      <c r="H118" s="90">
        <v>0.14785992217898833</v>
      </c>
      <c r="I118" s="91">
        <v>0.70175438596491224</v>
      </c>
      <c r="J118" s="91">
        <v>0.19298245614035087</v>
      </c>
      <c r="K118" s="89">
        <v>119</v>
      </c>
      <c r="L118" s="89">
        <v>41</v>
      </c>
      <c r="M118" s="89">
        <v>16</v>
      </c>
      <c r="N118" s="89">
        <v>13</v>
      </c>
      <c r="O118" s="89">
        <v>31</v>
      </c>
      <c r="P118" s="89">
        <v>8</v>
      </c>
    </row>
    <row r="119" spans="1:16" x14ac:dyDescent="0.35">
      <c r="A119" s="88" t="s">
        <v>40</v>
      </c>
      <c r="B119" s="88" t="s">
        <v>184</v>
      </c>
      <c r="C119" s="88" t="s">
        <v>185</v>
      </c>
      <c r="D119" s="88" t="s">
        <v>561</v>
      </c>
      <c r="E119" s="88" t="s">
        <v>562</v>
      </c>
      <c r="F119" s="89">
        <v>475</v>
      </c>
      <c r="G119" s="89">
        <v>5412</v>
      </c>
      <c r="H119" s="90">
        <v>8.7767923133776793E-2</v>
      </c>
      <c r="I119" s="91">
        <v>0.76842105263157889</v>
      </c>
      <c r="J119" s="91">
        <v>0.13263157894736843</v>
      </c>
      <c r="K119" s="89">
        <v>270</v>
      </c>
      <c r="L119" s="89">
        <v>95</v>
      </c>
      <c r="M119" s="89">
        <v>34</v>
      </c>
      <c r="N119" s="89">
        <v>22</v>
      </c>
      <c r="O119" s="89">
        <v>41</v>
      </c>
      <c r="P119" s="89">
        <v>13</v>
      </c>
    </row>
    <row r="120" spans="1:16" x14ac:dyDescent="0.35">
      <c r="A120" s="88" t="s">
        <v>40</v>
      </c>
      <c r="B120" s="88" t="s">
        <v>184</v>
      </c>
      <c r="C120" s="88" t="s">
        <v>185</v>
      </c>
      <c r="D120" s="88" t="s">
        <v>563</v>
      </c>
      <c r="E120" s="88" t="s">
        <v>564</v>
      </c>
      <c r="F120" s="89">
        <v>536</v>
      </c>
      <c r="G120" s="89">
        <v>4968</v>
      </c>
      <c r="H120" s="90">
        <v>0.10789049919484701</v>
      </c>
      <c r="I120" s="91">
        <v>0.78171641791044777</v>
      </c>
      <c r="J120" s="91">
        <v>0.12126865671641791</v>
      </c>
      <c r="K120" s="89">
        <v>320</v>
      </c>
      <c r="L120" s="89">
        <v>99</v>
      </c>
      <c r="M120" s="89">
        <v>34</v>
      </c>
      <c r="N120" s="89">
        <v>21</v>
      </c>
      <c r="O120" s="89">
        <v>44</v>
      </c>
      <c r="P120" s="89">
        <v>18</v>
      </c>
    </row>
    <row r="121" spans="1:16" x14ac:dyDescent="0.35">
      <c r="A121" s="88" t="s">
        <v>40</v>
      </c>
      <c r="B121" s="88" t="s">
        <v>186</v>
      </c>
      <c r="C121" s="88" t="s">
        <v>187</v>
      </c>
      <c r="D121" s="88" t="s">
        <v>565</v>
      </c>
      <c r="E121" s="88" t="s">
        <v>566</v>
      </c>
      <c r="F121" s="89">
        <v>206</v>
      </c>
      <c r="G121" s="89">
        <v>3357</v>
      </c>
      <c r="H121" s="90">
        <v>6.1364313375037234E-2</v>
      </c>
      <c r="I121" s="91">
        <v>0.94174757281553401</v>
      </c>
      <c r="J121" s="91">
        <v>4.8543689320388345E-3</v>
      </c>
      <c r="K121" s="89">
        <v>155</v>
      </c>
      <c r="L121" s="89">
        <v>39</v>
      </c>
      <c r="M121" s="89">
        <v>4</v>
      </c>
      <c r="N121" s="89">
        <v>0</v>
      </c>
      <c r="O121" s="89">
        <v>1</v>
      </c>
      <c r="P121" s="89">
        <v>7</v>
      </c>
    </row>
    <row r="122" spans="1:16" x14ac:dyDescent="0.35">
      <c r="A122" s="88" t="s">
        <v>40</v>
      </c>
      <c r="B122" s="88" t="s">
        <v>186</v>
      </c>
      <c r="C122" s="88" t="s">
        <v>187</v>
      </c>
      <c r="D122" s="88" t="s">
        <v>567</v>
      </c>
      <c r="E122" s="88" t="s">
        <v>568</v>
      </c>
      <c r="F122" s="89">
        <v>118</v>
      </c>
      <c r="G122" s="89">
        <v>824</v>
      </c>
      <c r="H122" s="90">
        <v>0.14320388349514562</v>
      </c>
      <c r="I122" s="91">
        <v>0.98305084745762716</v>
      </c>
      <c r="J122" s="91">
        <v>8.4745762711864406E-3</v>
      </c>
      <c r="K122" s="89">
        <v>99</v>
      </c>
      <c r="L122" s="89">
        <v>17</v>
      </c>
      <c r="M122" s="89">
        <v>0</v>
      </c>
      <c r="N122" s="89">
        <v>0</v>
      </c>
      <c r="O122" s="89">
        <v>1</v>
      </c>
      <c r="P122" s="89">
        <v>1</v>
      </c>
    </row>
    <row r="123" spans="1:16" x14ac:dyDescent="0.35">
      <c r="A123" s="88" t="s">
        <v>40</v>
      </c>
      <c r="B123" s="88" t="s">
        <v>188</v>
      </c>
      <c r="C123" s="88" t="s">
        <v>189</v>
      </c>
      <c r="D123" s="88" t="s">
        <v>569</v>
      </c>
      <c r="E123" s="88" t="s">
        <v>570</v>
      </c>
      <c r="F123" s="89">
        <v>895</v>
      </c>
      <c r="G123" s="89">
        <v>4640</v>
      </c>
      <c r="H123" s="90">
        <v>0.19288793103448276</v>
      </c>
      <c r="I123" s="91">
        <v>0.8</v>
      </c>
      <c r="J123" s="91">
        <v>0.11508379888268157</v>
      </c>
      <c r="K123" s="89">
        <v>560</v>
      </c>
      <c r="L123" s="89">
        <v>156</v>
      </c>
      <c r="M123" s="89">
        <v>36</v>
      </c>
      <c r="N123" s="89">
        <v>34</v>
      </c>
      <c r="O123" s="89">
        <v>69</v>
      </c>
      <c r="P123" s="89">
        <v>40</v>
      </c>
    </row>
    <row r="124" spans="1:16" x14ac:dyDescent="0.35">
      <c r="A124" s="88" t="s">
        <v>40</v>
      </c>
      <c r="B124" s="88" t="s">
        <v>190</v>
      </c>
      <c r="C124" s="88" t="s">
        <v>191</v>
      </c>
      <c r="D124" s="88" t="s">
        <v>571</v>
      </c>
      <c r="E124" s="88" t="s">
        <v>572</v>
      </c>
      <c r="F124" s="89">
        <v>1660</v>
      </c>
      <c r="G124" s="89">
        <v>9765</v>
      </c>
      <c r="H124" s="90">
        <v>0.16999487967229904</v>
      </c>
      <c r="I124" s="91">
        <v>0.84397590361445785</v>
      </c>
      <c r="J124" s="91">
        <v>9.6385542168674704E-2</v>
      </c>
      <c r="K124" s="89">
        <v>1157</v>
      </c>
      <c r="L124" s="89">
        <v>244</v>
      </c>
      <c r="M124" s="89">
        <v>74</v>
      </c>
      <c r="N124" s="89">
        <v>57</v>
      </c>
      <c r="O124" s="89">
        <v>103</v>
      </c>
      <c r="P124" s="89">
        <v>25</v>
      </c>
    </row>
    <row r="125" spans="1:16" x14ac:dyDescent="0.35">
      <c r="A125" s="88" t="s">
        <v>40</v>
      </c>
      <c r="B125" s="88" t="s">
        <v>190</v>
      </c>
      <c r="C125" s="88" t="s">
        <v>191</v>
      </c>
      <c r="D125" s="88" t="s">
        <v>573</v>
      </c>
      <c r="E125" s="88" t="s">
        <v>574</v>
      </c>
      <c r="F125" s="89">
        <v>220</v>
      </c>
      <c r="G125" s="89">
        <v>2176</v>
      </c>
      <c r="H125" s="90">
        <v>0.10110294117647059</v>
      </c>
      <c r="I125" s="91">
        <v>0.89090909090909087</v>
      </c>
      <c r="J125" s="91">
        <v>7.7272727272727271E-2</v>
      </c>
      <c r="K125" s="89">
        <v>151</v>
      </c>
      <c r="L125" s="89">
        <v>45</v>
      </c>
      <c r="M125" s="89">
        <v>5</v>
      </c>
      <c r="N125" s="89">
        <v>5</v>
      </c>
      <c r="O125" s="89">
        <v>12</v>
      </c>
      <c r="P125" s="89">
        <v>2</v>
      </c>
    </row>
    <row r="126" spans="1:16" x14ac:dyDescent="0.35">
      <c r="A126" s="88" t="s">
        <v>40</v>
      </c>
      <c r="B126" s="88" t="s">
        <v>190</v>
      </c>
      <c r="C126" s="88" t="s">
        <v>191</v>
      </c>
      <c r="D126" s="88" t="s">
        <v>575</v>
      </c>
      <c r="E126" s="88" t="s">
        <v>576</v>
      </c>
      <c r="F126" s="89">
        <v>271</v>
      </c>
      <c r="G126" s="89">
        <v>1398</v>
      </c>
      <c r="H126" s="90">
        <v>0.1938483547925608</v>
      </c>
      <c r="I126" s="91">
        <v>0.90405904059040587</v>
      </c>
      <c r="J126" s="91">
        <v>4.797047970479705E-2</v>
      </c>
      <c r="K126" s="89">
        <v>202</v>
      </c>
      <c r="L126" s="89">
        <v>43</v>
      </c>
      <c r="M126" s="89">
        <v>9</v>
      </c>
      <c r="N126" s="89">
        <v>2</v>
      </c>
      <c r="O126" s="89">
        <v>11</v>
      </c>
      <c r="P126" s="89">
        <v>4</v>
      </c>
    </row>
    <row r="127" spans="1:16" x14ac:dyDescent="0.35">
      <c r="A127" s="88" t="s">
        <v>40</v>
      </c>
      <c r="B127" s="88" t="s">
        <v>192</v>
      </c>
      <c r="C127" s="88" t="s">
        <v>193</v>
      </c>
      <c r="D127" s="88" t="s">
        <v>577</v>
      </c>
      <c r="E127" s="88" t="s">
        <v>578</v>
      </c>
      <c r="F127" s="89">
        <v>674</v>
      </c>
      <c r="G127" s="89">
        <v>6387</v>
      </c>
      <c r="H127" s="90">
        <v>0.10552685141694067</v>
      </c>
      <c r="I127" s="91">
        <v>0.72106824925816027</v>
      </c>
      <c r="J127" s="91">
        <v>0.20326409495548961</v>
      </c>
      <c r="K127" s="89">
        <v>377</v>
      </c>
      <c r="L127" s="89">
        <v>109</v>
      </c>
      <c r="M127" s="89">
        <v>37</v>
      </c>
      <c r="N127" s="89">
        <v>53</v>
      </c>
      <c r="O127" s="89">
        <v>84</v>
      </c>
      <c r="P127" s="89">
        <v>14</v>
      </c>
    </row>
    <row r="128" spans="1:16" x14ac:dyDescent="0.35">
      <c r="A128" s="88" t="s">
        <v>40</v>
      </c>
      <c r="B128" s="88" t="s">
        <v>192</v>
      </c>
      <c r="C128" s="88" t="s">
        <v>193</v>
      </c>
      <c r="D128" s="88" t="s">
        <v>579</v>
      </c>
      <c r="E128" s="88" t="s">
        <v>580</v>
      </c>
      <c r="F128" s="89">
        <v>710</v>
      </c>
      <c r="G128" s="89">
        <v>9710</v>
      </c>
      <c r="H128" s="90">
        <v>7.312049433573635E-2</v>
      </c>
      <c r="I128" s="91">
        <v>0.61971830985915488</v>
      </c>
      <c r="J128" s="91">
        <v>0.28873239436619719</v>
      </c>
      <c r="K128" s="89">
        <v>308</v>
      </c>
      <c r="L128" s="89">
        <v>132</v>
      </c>
      <c r="M128" s="89">
        <v>40</v>
      </c>
      <c r="N128" s="89">
        <v>52</v>
      </c>
      <c r="O128" s="89">
        <v>153</v>
      </c>
      <c r="P128" s="89">
        <v>25</v>
      </c>
    </row>
    <row r="129" spans="1:16" x14ac:dyDescent="0.35">
      <c r="A129" s="88" t="s">
        <v>40</v>
      </c>
      <c r="B129" s="88" t="s">
        <v>192</v>
      </c>
      <c r="C129" s="88" t="s">
        <v>193</v>
      </c>
      <c r="D129" s="88" t="s">
        <v>581</v>
      </c>
      <c r="E129" s="88" t="s">
        <v>582</v>
      </c>
      <c r="F129" s="89">
        <v>792</v>
      </c>
      <c r="G129" s="89">
        <v>7056</v>
      </c>
      <c r="H129" s="90">
        <v>0.11224489795918367</v>
      </c>
      <c r="I129" s="91">
        <v>0.71464646464646464</v>
      </c>
      <c r="J129" s="91">
        <v>0.20707070707070707</v>
      </c>
      <c r="K129" s="89">
        <v>444</v>
      </c>
      <c r="L129" s="89">
        <v>122</v>
      </c>
      <c r="M129" s="89">
        <v>47</v>
      </c>
      <c r="N129" s="89">
        <v>49</v>
      </c>
      <c r="O129" s="89">
        <v>115</v>
      </c>
      <c r="P129" s="89">
        <v>15</v>
      </c>
    </row>
    <row r="130" spans="1:16" x14ac:dyDescent="0.35">
      <c r="A130" s="88" t="s">
        <v>40</v>
      </c>
      <c r="B130" s="88" t="s">
        <v>192</v>
      </c>
      <c r="C130" s="88" t="s">
        <v>193</v>
      </c>
      <c r="D130" s="88" t="s">
        <v>583</v>
      </c>
      <c r="E130" s="88" t="s">
        <v>584</v>
      </c>
      <c r="F130" s="89">
        <v>394</v>
      </c>
      <c r="G130" s="89">
        <v>3589</v>
      </c>
      <c r="H130" s="90">
        <v>0.10977988297575926</v>
      </c>
      <c r="I130" s="91">
        <v>0.8857868020304569</v>
      </c>
      <c r="J130" s="91">
        <v>7.1065989847715741E-2</v>
      </c>
      <c r="K130" s="89">
        <v>292</v>
      </c>
      <c r="L130" s="89">
        <v>57</v>
      </c>
      <c r="M130" s="89">
        <v>13</v>
      </c>
      <c r="N130" s="89">
        <v>7</v>
      </c>
      <c r="O130" s="89">
        <v>21</v>
      </c>
      <c r="P130" s="89">
        <v>4</v>
      </c>
    </row>
    <row r="131" spans="1:16" x14ac:dyDescent="0.35">
      <c r="A131" s="88" t="s">
        <v>40</v>
      </c>
      <c r="B131" s="88" t="s">
        <v>194</v>
      </c>
      <c r="C131" s="88" t="s">
        <v>195</v>
      </c>
      <c r="D131" s="88" t="s">
        <v>585</v>
      </c>
      <c r="E131" s="88" t="s">
        <v>586</v>
      </c>
      <c r="F131" s="89">
        <v>507</v>
      </c>
      <c r="G131" s="89">
        <v>2419</v>
      </c>
      <c r="H131" s="90">
        <v>0.20959073997519637</v>
      </c>
      <c r="I131" s="91">
        <v>0.82840236686390534</v>
      </c>
      <c r="J131" s="91">
        <v>8.8757396449704137E-2</v>
      </c>
      <c r="K131" s="89">
        <v>336</v>
      </c>
      <c r="L131" s="89">
        <v>84</v>
      </c>
      <c r="M131" s="89">
        <v>31</v>
      </c>
      <c r="N131" s="89">
        <v>18</v>
      </c>
      <c r="O131" s="89">
        <v>27</v>
      </c>
      <c r="P131" s="89">
        <v>11</v>
      </c>
    </row>
    <row r="132" spans="1:16" x14ac:dyDescent="0.35">
      <c r="A132" s="88" t="s">
        <v>40</v>
      </c>
      <c r="B132" s="88" t="s">
        <v>194</v>
      </c>
      <c r="C132" s="88" t="s">
        <v>195</v>
      </c>
      <c r="D132" s="88" t="s">
        <v>587</v>
      </c>
      <c r="E132" s="88" t="s">
        <v>588</v>
      </c>
      <c r="F132" s="89">
        <v>1786</v>
      </c>
      <c r="G132" s="89">
        <v>10352</v>
      </c>
      <c r="H132" s="90">
        <v>0.17252704791344667</v>
      </c>
      <c r="I132" s="91">
        <v>0.7928331466965286</v>
      </c>
      <c r="J132" s="91">
        <v>0.13549832026875699</v>
      </c>
      <c r="K132" s="89">
        <v>1074</v>
      </c>
      <c r="L132" s="89">
        <v>342</v>
      </c>
      <c r="M132" s="89">
        <v>86</v>
      </c>
      <c r="N132" s="89">
        <v>89</v>
      </c>
      <c r="O132" s="89">
        <v>153</v>
      </c>
      <c r="P132" s="89">
        <v>42</v>
      </c>
    </row>
    <row r="133" spans="1:16" x14ac:dyDescent="0.35">
      <c r="A133" s="88" t="s">
        <v>40</v>
      </c>
      <c r="B133" s="88" t="s">
        <v>194</v>
      </c>
      <c r="C133" s="88" t="s">
        <v>195</v>
      </c>
      <c r="D133" s="88" t="s">
        <v>589</v>
      </c>
      <c r="E133" s="88" t="s">
        <v>590</v>
      </c>
      <c r="F133" s="89">
        <v>111</v>
      </c>
      <c r="G133" s="89">
        <v>3733</v>
      </c>
      <c r="H133" s="90">
        <v>2.9734797749799088E-2</v>
      </c>
      <c r="I133" s="91">
        <v>0.7927927927927928</v>
      </c>
      <c r="J133" s="91">
        <v>0.14414414414414414</v>
      </c>
      <c r="K133" s="89">
        <v>59</v>
      </c>
      <c r="L133" s="89">
        <v>29</v>
      </c>
      <c r="M133" s="89">
        <v>6</v>
      </c>
      <c r="N133" s="89">
        <v>7</v>
      </c>
      <c r="O133" s="89">
        <v>9</v>
      </c>
      <c r="P133" s="89">
        <v>1</v>
      </c>
    </row>
    <row r="134" spans="1:16" x14ac:dyDescent="0.35">
      <c r="A134" s="88" t="s">
        <v>40</v>
      </c>
      <c r="B134" s="88" t="s">
        <v>196</v>
      </c>
      <c r="C134" s="88" t="s">
        <v>197</v>
      </c>
      <c r="D134" s="88" t="s">
        <v>591</v>
      </c>
      <c r="E134" s="88" t="s">
        <v>592</v>
      </c>
      <c r="F134" s="89">
        <v>477</v>
      </c>
      <c r="G134" s="89">
        <v>3692</v>
      </c>
      <c r="H134" s="90">
        <v>0.1291982665222102</v>
      </c>
      <c r="I134" s="91">
        <v>0.71698113207547165</v>
      </c>
      <c r="J134" s="91">
        <v>0.16352201257861634</v>
      </c>
      <c r="K134" s="89">
        <v>226</v>
      </c>
      <c r="L134" s="89">
        <v>116</v>
      </c>
      <c r="M134" s="89">
        <v>40</v>
      </c>
      <c r="N134" s="89">
        <v>31</v>
      </c>
      <c r="O134" s="89">
        <v>47</v>
      </c>
      <c r="P134" s="89">
        <v>17</v>
      </c>
    </row>
    <row r="135" spans="1:16" x14ac:dyDescent="0.35">
      <c r="A135" s="88" t="s">
        <v>40</v>
      </c>
      <c r="B135" s="88" t="s">
        <v>198</v>
      </c>
      <c r="C135" s="88" t="s">
        <v>199</v>
      </c>
      <c r="D135" s="88" t="s">
        <v>593</v>
      </c>
      <c r="E135" s="88" t="s">
        <v>594</v>
      </c>
      <c r="F135" s="89">
        <v>328</v>
      </c>
      <c r="G135" s="89">
        <v>4046</v>
      </c>
      <c r="H135" s="90">
        <v>8.1067721206129512E-2</v>
      </c>
      <c r="I135" s="91">
        <v>0.73170731707317072</v>
      </c>
      <c r="J135" s="91">
        <v>0.20426829268292682</v>
      </c>
      <c r="K135" s="89">
        <v>166</v>
      </c>
      <c r="L135" s="89">
        <v>74</v>
      </c>
      <c r="M135" s="89">
        <v>17</v>
      </c>
      <c r="N135" s="89">
        <v>21</v>
      </c>
      <c r="O135" s="89">
        <v>46</v>
      </c>
      <c r="P135" s="89">
        <v>4</v>
      </c>
    </row>
    <row r="136" spans="1:16" x14ac:dyDescent="0.35">
      <c r="A136" s="88" t="s">
        <v>40</v>
      </c>
      <c r="B136" s="88" t="s">
        <v>198</v>
      </c>
      <c r="C136" s="88" t="s">
        <v>199</v>
      </c>
      <c r="D136" s="88" t="s">
        <v>595</v>
      </c>
      <c r="E136" s="88" t="s">
        <v>596</v>
      </c>
      <c r="F136" s="89">
        <v>251</v>
      </c>
      <c r="G136" s="89">
        <v>2217</v>
      </c>
      <c r="H136" s="90">
        <v>0.11321605773567885</v>
      </c>
      <c r="I136" s="91">
        <v>0.85657370517928288</v>
      </c>
      <c r="J136" s="91">
        <v>8.3665338645418322E-2</v>
      </c>
      <c r="K136" s="89">
        <v>182</v>
      </c>
      <c r="L136" s="89">
        <v>33</v>
      </c>
      <c r="M136" s="89">
        <v>13</v>
      </c>
      <c r="N136" s="89">
        <v>12</v>
      </c>
      <c r="O136" s="89">
        <v>9</v>
      </c>
      <c r="P136" s="89">
        <v>2</v>
      </c>
    </row>
    <row r="137" spans="1:16" x14ac:dyDescent="0.35">
      <c r="A137" s="88" t="s">
        <v>40</v>
      </c>
      <c r="B137" s="88" t="s">
        <v>198</v>
      </c>
      <c r="C137" s="88" t="s">
        <v>199</v>
      </c>
      <c r="D137" s="88" t="s">
        <v>597</v>
      </c>
      <c r="E137" s="88" t="s">
        <v>598</v>
      </c>
      <c r="F137" s="89">
        <v>541</v>
      </c>
      <c r="G137" s="89">
        <v>5037</v>
      </c>
      <c r="H137" s="90">
        <v>0.10740520150883462</v>
      </c>
      <c r="I137" s="91">
        <v>0.73197781885397417</v>
      </c>
      <c r="J137" s="91">
        <v>0.20702402957486138</v>
      </c>
      <c r="K137" s="89">
        <v>284</v>
      </c>
      <c r="L137" s="89">
        <v>112</v>
      </c>
      <c r="M137" s="89">
        <v>28</v>
      </c>
      <c r="N137" s="89">
        <v>47</v>
      </c>
      <c r="O137" s="89">
        <v>65</v>
      </c>
      <c r="P137" s="89">
        <v>5</v>
      </c>
    </row>
    <row r="138" spans="1:16" x14ac:dyDescent="0.35">
      <c r="A138" s="88" t="s">
        <v>40</v>
      </c>
      <c r="B138" s="88" t="s">
        <v>200</v>
      </c>
      <c r="C138" s="88" t="s">
        <v>201</v>
      </c>
      <c r="D138" s="88" t="s">
        <v>599</v>
      </c>
      <c r="E138" s="88" t="s">
        <v>600</v>
      </c>
      <c r="F138" s="89">
        <v>710</v>
      </c>
      <c r="G138" s="89">
        <v>2828</v>
      </c>
      <c r="H138" s="90">
        <v>0.25106082036775107</v>
      </c>
      <c r="I138" s="91">
        <v>0.93661971830985913</v>
      </c>
      <c r="J138" s="91">
        <v>4.9295774647887321E-2</v>
      </c>
      <c r="K138" s="89">
        <v>582</v>
      </c>
      <c r="L138" s="89">
        <v>83</v>
      </c>
      <c r="M138" s="89">
        <v>5</v>
      </c>
      <c r="N138" s="89">
        <v>6</v>
      </c>
      <c r="O138" s="89">
        <v>29</v>
      </c>
      <c r="P138" s="89">
        <v>5</v>
      </c>
    </row>
    <row r="139" spans="1:16" x14ac:dyDescent="0.35">
      <c r="A139" s="88" t="s">
        <v>42</v>
      </c>
      <c r="B139" s="88" t="s">
        <v>202</v>
      </c>
      <c r="C139" s="88" t="s">
        <v>203</v>
      </c>
      <c r="D139" s="88" t="s">
        <v>601</v>
      </c>
      <c r="E139" s="88" t="s">
        <v>602</v>
      </c>
      <c r="F139" s="89">
        <v>22</v>
      </c>
      <c r="G139" s="89">
        <v>7102</v>
      </c>
      <c r="H139" s="90">
        <v>3.0977189524077726E-3</v>
      </c>
      <c r="I139" s="91">
        <v>0.90909090909090906</v>
      </c>
      <c r="J139" s="91">
        <v>4.5454545454545456E-2</v>
      </c>
      <c r="K139" s="89">
        <v>18</v>
      </c>
      <c r="L139" s="89">
        <v>2</v>
      </c>
      <c r="M139" s="89">
        <v>1</v>
      </c>
      <c r="N139" s="89">
        <v>0</v>
      </c>
      <c r="O139" s="89">
        <v>1</v>
      </c>
      <c r="P139" s="89">
        <v>0</v>
      </c>
    </row>
    <row r="140" spans="1:16" x14ac:dyDescent="0.35">
      <c r="A140" s="88" t="s">
        <v>42</v>
      </c>
      <c r="B140" s="88" t="s">
        <v>204</v>
      </c>
      <c r="C140" s="88" t="s">
        <v>205</v>
      </c>
      <c r="D140" s="88" t="s">
        <v>603</v>
      </c>
      <c r="E140" s="88" t="s">
        <v>604</v>
      </c>
      <c r="F140" s="89">
        <v>1319</v>
      </c>
      <c r="G140" s="89">
        <v>9311</v>
      </c>
      <c r="H140" s="90">
        <v>0.14166040167543764</v>
      </c>
      <c r="I140" s="91">
        <v>0.82107657316148597</v>
      </c>
      <c r="J140" s="91">
        <v>0.10841546626231995</v>
      </c>
      <c r="K140" s="89">
        <v>844</v>
      </c>
      <c r="L140" s="89">
        <v>239</v>
      </c>
      <c r="M140" s="89">
        <v>68</v>
      </c>
      <c r="N140" s="89">
        <v>54</v>
      </c>
      <c r="O140" s="89">
        <v>89</v>
      </c>
      <c r="P140" s="89">
        <v>25</v>
      </c>
    </row>
    <row r="141" spans="1:16" x14ac:dyDescent="0.35">
      <c r="A141" s="88" t="s">
        <v>42</v>
      </c>
      <c r="B141" s="88" t="s">
        <v>206</v>
      </c>
      <c r="C141" s="88" t="s">
        <v>207</v>
      </c>
      <c r="D141" s="88" t="s">
        <v>605</v>
      </c>
      <c r="E141" s="88" t="s">
        <v>606</v>
      </c>
      <c r="F141" s="89">
        <v>384</v>
      </c>
      <c r="G141" s="89">
        <v>1485</v>
      </c>
      <c r="H141" s="90">
        <v>0.25858585858585859</v>
      </c>
      <c r="I141" s="91">
        <v>0.92447916666666663</v>
      </c>
      <c r="J141" s="91">
        <v>4.9479166666666664E-2</v>
      </c>
      <c r="K141" s="89">
        <v>305</v>
      </c>
      <c r="L141" s="89">
        <v>50</v>
      </c>
      <c r="M141" s="89">
        <v>7</v>
      </c>
      <c r="N141" s="89">
        <v>7</v>
      </c>
      <c r="O141" s="89">
        <v>12</v>
      </c>
      <c r="P141" s="89">
        <v>3</v>
      </c>
    </row>
    <row r="142" spans="1:16" x14ac:dyDescent="0.35">
      <c r="A142" s="88" t="s">
        <v>42</v>
      </c>
      <c r="B142" s="88" t="s">
        <v>206</v>
      </c>
      <c r="C142" s="88" t="s">
        <v>207</v>
      </c>
      <c r="D142" s="88" t="s">
        <v>607</v>
      </c>
      <c r="E142" s="88" t="s">
        <v>608</v>
      </c>
      <c r="F142" s="89">
        <v>688</v>
      </c>
      <c r="G142" s="89">
        <v>3152</v>
      </c>
      <c r="H142" s="90">
        <v>0.21827411167512689</v>
      </c>
      <c r="I142" s="91">
        <v>0.73401162790697672</v>
      </c>
      <c r="J142" s="91">
        <v>0.16569767441860464</v>
      </c>
      <c r="K142" s="89">
        <v>358</v>
      </c>
      <c r="L142" s="89">
        <v>147</v>
      </c>
      <c r="M142" s="89">
        <v>61</v>
      </c>
      <c r="N142" s="89">
        <v>39</v>
      </c>
      <c r="O142" s="89">
        <v>75</v>
      </c>
      <c r="P142" s="89">
        <v>8</v>
      </c>
    </row>
    <row r="143" spans="1:16" x14ac:dyDescent="0.35">
      <c r="A143" s="88" t="s">
        <v>42</v>
      </c>
      <c r="B143" s="88" t="s">
        <v>206</v>
      </c>
      <c r="C143" s="88" t="s">
        <v>207</v>
      </c>
      <c r="D143" s="88" t="s">
        <v>609</v>
      </c>
      <c r="E143" s="88" t="s">
        <v>610</v>
      </c>
      <c r="F143" s="89">
        <v>439</v>
      </c>
      <c r="G143" s="89">
        <v>2070</v>
      </c>
      <c r="H143" s="90">
        <v>0.21207729468599035</v>
      </c>
      <c r="I143" s="91">
        <v>0.78815489749430523</v>
      </c>
      <c r="J143" s="91">
        <v>0.12072892938496584</v>
      </c>
      <c r="K143" s="89">
        <v>252</v>
      </c>
      <c r="L143" s="89">
        <v>94</v>
      </c>
      <c r="M143" s="89">
        <v>38</v>
      </c>
      <c r="N143" s="89">
        <v>19</v>
      </c>
      <c r="O143" s="89">
        <v>34</v>
      </c>
      <c r="P143" s="89">
        <v>2</v>
      </c>
    </row>
    <row r="144" spans="1:16" x14ac:dyDescent="0.35">
      <c r="A144" s="88" t="s">
        <v>42</v>
      </c>
      <c r="B144" s="88" t="s">
        <v>208</v>
      </c>
      <c r="C144" s="88" t="s">
        <v>209</v>
      </c>
      <c r="D144" s="88" t="s">
        <v>611</v>
      </c>
      <c r="E144" s="88" t="s">
        <v>612</v>
      </c>
      <c r="F144" s="89">
        <v>1137</v>
      </c>
      <c r="G144" s="89">
        <v>16527</v>
      </c>
      <c r="H144" s="90">
        <v>6.8796514793973501E-2</v>
      </c>
      <c r="I144" s="91">
        <v>0.94019349164467902</v>
      </c>
      <c r="J144" s="91">
        <v>3.1662269129287601E-2</v>
      </c>
      <c r="K144" s="89">
        <v>956</v>
      </c>
      <c r="L144" s="89">
        <v>113</v>
      </c>
      <c r="M144" s="89">
        <v>25</v>
      </c>
      <c r="N144" s="89">
        <v>9</v>
      </c>
      <c r="O144" s="89">
        <v>27</v>
      </c>
      <c r="P144" s="89">
        <v>7</v>
      </c>
    </row>
    <row r="145" spans="1:16" x14ac:dyDescent="0.35">
      <c r="A145" s="88" t="s">
        <v>44</v>
      </c>
      <c r="B145" s="88" t="s">
        <v>210</v>
      </c>
      <c r="C145" s="88" t="s">
        <v>211</v>
      </c>
      <c r="D145" s="88" t="s">
        <v>613</v>
      </c>
      <c r="E145" s="88" t="s">
        <v>614</v>
      </c>
      <c r="F145" s="89">
        <v>1471</v>
      </c>
      <c r="G145" s="89">
        <v>7516</v>
      </c>
      <c r="H145" s="90">
        <v>0.19571580627993615</v>
      </c>
      <c r="I145" s="91">
        <v>0.79945615227736233</v>
      </c>
      <c r="J145" s="91">
        <v>0.10401087695445276</v>
      </c>
      <c r="K145" s="89">
        <v>842</v>
      </c>
      <c r="L145" s="89">
        <v>334</v>
      </c>
      <c r="M145" s="89">
        <v>114</v>
      </c>
      <c r="N145" s="89">
        <v>56</v>
      </c>
      <c r="O145" s="89">
        <v>97</v>
      </c>
      <c r="P145" s="89">
        <v>28</v>
      </c>
    </row>
    <row r="146" spans="1:16" x14ac:dyDescent="0.35">
      <c r="A146" s="88" t="s">
        <v>44</v>
      </c>
      <c r="B146" s="88" t="s">
        <v>212</v>
      </c>
      <c r="C146" s="88" t="s">
        <v>213</v>
      </c>
      <c r="D146" s="88" t="s">
        <v>615</v>
      </c>
      <c r="E146" s="88" t="s">
        <v>616</v>
      </c>
      <c r="F146" s="89">
        <v>669</v>
      </c>
      <c r="G146" s="89">
        <v>4122</v>
      </c>
      <c r="H146" s="90">
        <v>0.16229985443959244</v>
      </c>
      <c r="I146" s="91">
        <v>0.81614349775784756</v>
      </c>
      <c r="J146" s="91">
        <v>0.11808669656203288</v>
      </c>
      <c r="K146" s="89">
        <v>399</v>
      </c>
      <c r="L146" s="89">
        <v>147</v>
      </c>
      <c r="M146" s="89">
        <v>35</v>
      </c>
      <c r="N146" s="89">
        <v>33</v>
      </c>
      <c r="O146" s="89">
        <v>46</v>
      </c>
      <c r="P146" s="89">
        <v>9</v>
      </c>
    </row>
    <row r="147" spans="1:16" x14ac:dyDescent="0.35">
      <c r="A147" s="88" t="s">
        <v>44</v>
      </c>
      <c r="B147" s="88" t="s">
        <v>214</v>
      </c>
      <c r="C147" s="88" t="s">
        <v>215</v>
      </c>
      <c r="D147" s="88" t="s">
        <v>617</v>
      </c>
      <c r="E147" s="88" t="s">
        <v>618</v>
      </c>
      <c r="F147" s="89">
        <v>1552</v>
      </c>
      <c r="G147" s="89">
        <v>6108</v>
      </c>
      <c r="H147" s="90">
        <v>0.25409299279633268</v>
      </c>
      <c r="I147" s="91">
        <v>0.90335051546391754</v>
      </c>
      <c r="J147" s="91">
        <v>6.5721649484536085E-2</v>
      </c>
      <c r="K147" s="89">
        <v>1196</v>
      </c>
      <c r="L147" s="89">
        <v>206</v>
      </c>
      <c r="M147" s="89">
        <v>34</v>
      </c>
      <c r="N147" s="89">
        <v>29</v>
      </c>
      <c r="O147" s="89">
        <v>73</v>
      </c>
      <c r="P147" s="89">
        <v>14</v>
      </c>
    </row>
    <row r="148" spans="1:16" x14ac:dyDescent="0.35">
      <c r="A148" s="88" t="s">
        <v>44</v>
      </c>
      <c r="B148" s="88" t="s">
        <v>216</v>
      </c>
      <c r="C148" s="88" t="s">
        <v>217</v>
      </c>
      <c r="D148" s="88" t="s">
        <v>619</v>
      </c>
      <c r="E148" s="88" t="s">
        <v>620</v>
      </c>
      <c r="F148" s="89">
        <v>504</v>
      </c>
      <c r="G148" s="89">
        <v>11200</v>
      </c>
      <c r="H148" s="90">
        <v>4.4999999999999998E-2</v>
      </c>
      <c r="I148" s="91">
        <v>0.86111111111111116</v>
      </c>
      <c r="J148" s="91">
        <v>4.96031746031746E-2</v>
      </c>
      <c r="K148" s="89">
        <v>234</v>
      </c>
      <c r="L148" s="89">
        <v>200</v>
      </c>
      <c r="M148" s="89">
        <v>35</v>
      </c>
      <c r="N148" s="89">
        <v>14</v>
      </c>
      <c r="O148" s="89">
        <v>11</v>
      </c>
      <c r="P148" s="89">
        <v>10</v>
      </c>
    </row>
    <row r="149" spans="1:16" x14ac:dyDescent="0.35">
      <c r="A149" s="88" t="s">
        <v>44</v>
      </c>
      <c r="B149" s="88" t="s">
        <v>216</v>
      </c>
      <c r="C149" s="88" t="s">
        <v>217</v>
      </c>
      <c r="D149" s="88" t="s">
        <v>621</v>
      </c>
      <c r="E149" s="88" t="s">
        <v>622</v>
      </c>
      <c r="F149" s="89">
        <v>120</v>
      </c>
      <c r="G149" s="89">
        <v>3856</v>
      </c>
      <c r="H149" s="90">
        <v>3.1120331950207469E-2</v>
      </c>
      <c r="I149" s="91">
        <v>0.7416666666666667</v>
      </c>
      <c r="J149" s="91">
        <v>0.18333333333333332</v>
      </c>
      <c r="K149" s="89">
        <v>69</v>
      </c>
      <c r="L149" s="89">
        <v>20</v>
      </c>
      <c r="M149" s="89">
        <v>8</v>
      </c>
      <c r="N149" s="89">
        <v>7</v>
      </c>
      <c r="O149" s="89">
        <v>15</v>
      </c>
      <c r="P149" s="89">
        <v>1</v>
      </c>
    </row>
    <row r="150" spans="1:16" x14ac:dyDescent="0.35">
      <c r="A150" s="88" t="s">
        <v>44</v>
      </c>
      <c r="B150" s="88" t="s">
        <v>218</v>
      </c>
      <c r="C150" s="88" t="s">
        <v>219</v>
      </c>
      <c r="D150" s="88" t="s">
        <v>623</v>
      </c>
      <c r="E150" s="88" t="s">
        <v>624</v>
      </c>
      <c r="F150" s="89">
        <v>1296</v>
      </c>
      <c r="G150" s="89">
        <v>6048</v>
      </c>
      <c r="H150" s="90">
        <v>0.21428571428571427</v>
      </c>
      <c r="I150" s="91">
        <v>0.86265432098765427</v>
      </c>
      <c r="J150" s="91">
        <v>8.7191358024691357E-2</v>
      </c>
      <c r="K150" s="89">
        <v>924</v>
      </c>
      <c r="L150" s="89">
        <v>194</v>
      </c>
      <c r="M150" s="89">
        <v>49</v>
      </c>
      <c r="N150" s="89">
        <v>45</v>
      </c>
      <c r="O150" s="89">
        <v>68</v>
      </c>
      <c r="P150" s="89">
        <v>16</v>
      </c>
    </row>
    <row r="151" spans="1:16" x14ac:dyDescent="0.35">
      <c r="A151" s="88" t="s">
        <v>44</v>
      </c>
      <c r="B151" s="88" t="s">
        <v>218</v>
      </c>
      <c r="C151" s="88" t="s">
        <v>219</v>
      </c>
      <c r="D151" s="88" t="s">
        <v>625</v>
      </c>
      <c r="E151" s="88" t="s">
        <v>626</v>
      </c>
      <c r="F151" s="89">
        <v>662</v>
      </c>
      <c r="G151" s="89">
        <v>8415</v>
      </c>
      <c r="H151" s="90">
        <v>7.8669043374925723E-2</v>
      </c>
      <c r="I151" s="91">
        <v>0.87462235649546827</v>
      </c>
      <c r="J151" s="91">
        <v>8.9123867069486398E-2</v>
      </c>
      <c r="K151" s="89">
        <v>476</v>
      </c>
      <c r="L151" s="89">
        <v>103</v>
      </c>
      <c r="M151" s="89">
        <v>20</v>
      </c>
      <c r="N151" s="89">
        <v>22</v>
      </c>
      <c r="O151" s="89">
        <v>37</v>
      </c>
      <c r="P151" s="89">
        <v>4</v>
      </c>
    </row>
    <row r="152" spans="1:16" x14ac:dyDescent="0.35">
      <c r="A152" s="88" t="s">
        <v>44</v>
      </c>
      <c r="B152" s="88" t="s">
        <v>220</v>
      </c>
      <c r="C152" s="88" t="s">
        <v>221</v>
      </c>
      <c r="D152" s="88" t="s">
        <v>627</v>
      </c>
      <c r="E152" s="88" t="s">
        <v>628</v>
      </c>
      <c r="F152" s="89">
        <v>445</v>
      </c>
      <c r="G152" s="89">
        <v>6233</v>
      </c>
      <c r="H152" s="90">
        <v>7.1394192202791598E-2</v>
      </c>
      <c r="I152" s="91">
        <v>0.89213483146067418</v>
      </c>
      <c r="J152" s="91">
        <v>5.8426966292134834E-2</v>
      </c>
      <c r="K152" s="89">
        <v>329</v>
      </c>
      <c r="L152" s="89">
        <v>68</v>
      </c>
      <c r="M152" s="89">
        <v>13</v>
      </c>
      <c r="N152" s="89">
        <v>8</v>
      </c>
      <c r="O152" s="89">
        <v>18</v>
      </c>
      <c r="P152" s="89">
        <v>9</v>
      </c>
    </row>
    <row r="153" spans="1:16" x14ac:dyDescent="0.35">
      <c r="A153" s="88" t="s">
        <v>44</v>
      </c>
      <c r="B153" s="88" t="s">
        <v>222</v>
      </c>
      <c r="C153" s="88" t="s">
        <v>223</v>
      </c>
      <c r="D153" s="88" t="s">
        <v>629</v>
      </c>
      <c r="E153" s="88" t="s">
        <v>630</v>
      </c>
      <c r="F153" s="89">
        <v>1232</v>
      </c>
      <c r="G153" s="89">
        <v>6865</v>
      </c>
      <c r="H153" s="90">
        <v>0.17946103423160961</v>
      </c>
      <c r="I153" s="91">
        <v>0.98944805194805197</v>
      </c>
      <c r="J153" s="91">
        <v>1.6233766233766235E-3</v>
      </c>
      <c r="K153" s="89">
        <v>828</v>
      </c>
      <c r="L153" s="89">
        <v>391</v>
      </c>
      <c r="M153" s="89">
        <v>11</v>
      </c>
      <c r="N153" s="89">
        <v>1</v>
      </c>
      <c r="O153" s="89">
        <v>1</v>
      </c>
      <c r="P153" s="89">
        <v>0</v>
      </c>
    </row>
    <row r="154" spans="1:16" x14ac:dyDescent="0.35">
      <c r="A154" s="88" t="s">
        <v>44</v>
      </c>
      <c r="B154" s="88" t="s">
        <v>224</v>
      </c>
      <c r="C154" s="88" t="s">
        <v>225</v>
      </c>
      <c r="D154" s="88" t="s">
        <v>631</v>
      </c>
      <c r="E154" s="88" t="s">
        <v>632</v>
      </c>
      <c r="F154" s="89">
        <v>1121</v>
      </c>
      <c r="G154" s="89">
        <v>6200</v>
      </c>
      <c r="H154" s="90">
        <v>0.18080645161290324</v>
      </c>
      <c r="I154" s="91">
        <v>0.83586083853702053</v>
      </c>
      <c r="J154" s="91">
        <v>9.2774308652988399E-2</v>
      </c>
      <c r="K154" s="89">
        <v>737</v>
      </c>
      <c r="L154" s="89">
        <v>200</v>
      </c>
      <c r="M154" s="89">
        <v>61</v>
      </c>
      <c r="N154" s="89">
        <v>46</v>
      </c>
      <c r="O154" s="89">
        <v>58</v>
      </c>
      <c r="P154" s="89">
        <v>19</v>
      </c>
    </row>
    <row r="155" spans="1:16" x14ac:dyDescent="0.35">
      <c r="A155" s="88" t="s">
        <v>44</v>
      </c>
      <c r="B155" s="88" t="s">
        <v>226</v>
      </c>
      <c r="C155" s="88" t="s">
        <v>227</v>
      </c>
      <c r="D155" s="88" t="s">
        <v>633</v>
      </c>
      <c r="E155" s="88" t="s">
        <v>634</v>
      </c>
      <c r="F155" s="89">
        <v>498</v>
      </c>
      <c r="G155" s="89">
        <v>7613</v>
      </c>
      <c r="H155" s="90">
        <v>6.5414422698016547E-2</v>
      </c>
      <c r="I155" s="91">
        <v>0.89959839357429716</v>
      </c>
      <c r="J155" s="91">
        <v>4.6184738955823292E-2</v>
      </c>
      <c r="K155" s="89">
        <v>326</v>
      </c>
      <c r="L155" s="89">
        <v>122</v>
      </c>
      <c r="M155" s="89">
        <v>21</v>
      </c>
      <c r="N155" s="89">
        <v>7</v>
      </c>
      <c r="O155" s="89">
        <v>16</v>
      </c>
      <c r="P155" s="89">
        <v>6</v>
      </c>
    </row>
    <row r="156" spans="1:16" x14ac:dyDescent="0.35">
      <c r="A156" s="88" t="s">
        <v>44</v>
      </c>
      <c r="B156" s="88" t="s">
        <v>228</v>
      </c>
      <c r="C156" s="88" t="s">
        <v>229</v>
      </c>
      <c r="D156" s="88" t="s">
        <v>635</v>
      </c>
      <c r="E156" s="88" t="s">
        <v>636</v>
      </c>
      <c r="F156" s="89">
        <v>216</v>
      </c>
      <c r="G156" s="89">
        <v>8733</v>
      </c>
      <c r="H156" s="90">
        <v>2.4733768464445208E-2</v>
      </c>
      <c r="I156" s="91">
        <v>0.78240740740740744</v>
      </c>
      <c r="J156" s="91">
        <v>0.15740740740740741</v>
      </c>
      <c r="K156" s="89">
        <v>150</v>
      </c>
      <c r="L156" s="89">
        <v>19</v>
      </c>
      <c r="M156" s="89">
        <v>9</v>
      </c>
      <c r="N156" s="89">
        <v>13</v>
      </c>
      <c r="O156" s="89">
        <v>21</v>
      </c>
      <c r="P156" s="89">
        <v>4</v>
      </c>
    </row>
    <row r="157" spans="1:16" x14ac:dyDescent="0.35">
      <c r="A157" s="88" t="s">
        <v>44</v>
      </c>
      <c r="B157" s="88" t="s">
        <v>230</v>
      </c>
      <c r="C157" s="88" t="s">
        <v>231</v>
      </c>
      <c r="D157" s="88" t="s">
        <v>637</v>
      </c>
      <c r="E157" s="88" t="s">
        <v>638</v>
      </c>
      <c r="F157" s="89">
        <v>811</v>
      </c>
      <c r="G157" s="89">
        <v>5551</v>
      </c>
      <c r="H157" s="90">
        <v>0.14609980183750676</v>
      </c>
      <c r="I157" s="91">
        <v>0.82614056720098639</v>
      </c>
      <c r="J157" s="91">
        <v>0.11097410604192355</v>
      </c>
      <c r="K157" s="89">
        <v>513</v>
      </c>
      <c r="L157" s="89">
        <v>157</v>
      </c>
      <c r="M157" s="89">
        <v>40</v>
      </c>
      <c r="N157" s="89">
        <v>35</v>
      </c>
      <c r="O157" s="89">
        <v>55</v>
      </c>
      <c r="P157" s="89">
        <v>11</v>
      </c>
    </row>
    <row r="158" spans="1:16" x14ac:dyDescent="0.35">
      <c r="A158" s="88" t="s">
        <v>44</v>
      </c>
      <c r="B158" s="88" t="s">
        <v>232</v>
      </c>
      <c r="C158" s="88" t="s">
        <v>233</v>
      </c>
      <c r="D158" s="88" t="s">
        <v>639</v>
      </c>
      <c r="E158" s="88" t="s">
        <v>640</v>
      </c>
      <c r="F158" s="89">
        <v>704</v>
      </c>
      <c r="G158" s="89">
        <v>5625</v>
      </c>
      <c r="H158" s="90">
        <v>0.12515555555555555</v>
      </c>
      <c r="I158" s="91">
        <v>0.95028409090909094</v>
      </c>
      <c r="J158" s="91">
        <v>2.130681818181818E-2</v>
      </c>
      <c r="K158" s="89">
        <v>568</v>
      </c>
      <c r="L158" s="89">
        <v>101</v>
      </c>
      <c r="M158" s="89">
        <v>18</v>
      </c>
      <c r="N158" s="89">
        <v>9</v>
      </c>
      <c r="O158" s="89">
        <v>6</v>
      </c>
      <c r="P158" s="89">
        <v>2</v>
      </c>
    </row>
    <row r="159" spans="1:16" x14ac:dyDescent="0.35">
      <c r="A159" s="88" t="s">
        <v>44</v>
      </c>
      <c r="B159" s="88" t="s">
        <v>234</v>
      </c>
      <c r="C159" s="88" t="s">
        <v>235</v>
      </c>
      <c r="D159" s="88" t="s">
        <v>641</v>
      </c>
      <c r="E159" s="88" t="s">
        <v>642</v>
      </c>
      <c r="F159" s="89">
        <v>386</v>
      </c>
      <c r="G159" s="89">
        <v>3934</v>
      </c>
      <c r="H159" s="90">
        <v>9.8118962887646155E-2</v>
      </c>
      <c r="I159" s="91">
        <v>0.90932642487046633</v>
      </c>
      <c r="J159" s="91">
        <v>3.367875647668394E-2</v>
      </c>
      <c r="K159" s="89">
        <v>233</v>
      </c>
      <c r="L159" s="89">
        <v>118</v>
      </c>
      <c r="M159" s="89">
        <v>13</v>
      </c>
      <c r="N159" s="89">
        <v>7</v>
      </c>
      <c r="O159" s="89">
        <v>6</v>
      </c>
      <c r="P159" s="89">
        <v>9</v>
      </c>
    </row>
    <row r="160" spans="1:16" x14ac:dyDescent="0.35">
      <c r="A160" s="88" t="s">
        <v>44</v>
      </c>
      <c r="B160" s="88" t="s">
        <v>236</v>
      </c>
      <c r="C160" s="88" t="s">
        <v>237</v>
      </c>
      <c r="D160" s="88" t="s">
        <v>643</v>
      </c>
      <c r="E160" s="88" t="s">
        <v>644</v>
      </c>
      <c r="F160" s="89">
        <v>267</v>
      </c>
      <c r="G160" s="89">
        <v>3734</v>
      </c>
      <c r="H160" s="90">
        <v>7.1505088377075518E-2</v>
      </c>
      <c r="I160" s="91">
        <v>0.88014981273408244</v>
      </c>
      <c r="J160" s="91">
        <v>2.9962546816479401E-2</v>
      </c>
      <c r="K160" s="89">
        <v>141</v>
      </c>
      <c r="L160" s="89">
        <v>94</v>
      </c>
      <c r="M160" s="89">
        <v>18</v>
      </c>
      <c r="N160" s="89">
        <v>3</v>
      </c>
      <c r="O160" s="89">
        <v>5</v>
      </c>
      <c r="P160" s="89">
        <v>6</v>
      </c>
    </row>
    <row r="161" spans="1:16" x14ac:dyDescent="0.35">
      <c r="A161" s="88" t="s">
        <v>44</v>
      </c>
      <c r="B161" s="88" t="s">
        <v>236</v>
      </c>
      <c r="C161" s="88" t="s">
        <v>237</v>
      </c>
      <c r="D161" s="88" t="s">
        <v>645</v>
      </c>
      <c r="E161" s="88" t="s">
        <v>646</v>
      </c>
      <c r="F161" s="89">
        <v>43</v>
      </c>
      <c r="G161" s="89">
        <v>1488</v>
      </c>
      <c r="H161" s="90">
        <v>2.889784946236559E-2</v>
      </c>
      <c r="I161" s="91">
        <v>0.83720930232558144</v>
      </c>
      <c r="J161" s="91">
        <v>9.3023255813953487E-2</v>
      </c>
      <c r="K161" s="89">
        <v>20</v>
      </c>
      <c r="L161" s="89">
        <v>16</v>
      </c>
      <c r="M161" s="89">
        <v>3</v>
      </c>
      <c r="N161" s="89">
        <v>2</v>
      </c>
      <c r="O161" s="89">
        <v>2</v>
      </c>
      <c r="P161" s="89">
        <v>0</v>
      </c>
    </row>
    <row r="162" spans="1:16" x14ac:dyDescent="0.35">
      <c r="A162" s="88" t="s">
        <v>44</v>
      </c>
      <c r="B162" s="88" t="s">
        <v>236</v>
      </c>
      <c r="C162" s="88" t="s">
        <v>237</v>
      </c>
      <c r="D162" s="88" t="s">
        <v>647</v>
      </c>
      <c r="E162" s="88" t="s">
        <v>648</v>
      </c>
      <c r="F162" s="89">
        <v>104</v>
      </c>
      <c r="G162" s="89">
        <v>5726</v>
      </c>
      <c r="H162" s="90">
        <v>1.8162766329025498E-2</v>
      </c>
      <c r="I162" s="91">
        <v>0.93269230769230771</v>
      </c>
      <c r="J162" s="91">
        <v>3.8461538461538464E-2</v>
      </c>
      <c r="K162" s="89">
        <v>82</v>
      </c>
      <c r="L162" s="89">
        <v>15</v>
      </c>
      <c r="M162" s="89">
        <v>3</v>
      </c>
      <c r="N162" s="89">
        <v>1</v>
      </c>
      <c r="O162" s="89">
        <v>3</v>
      </c>
      <c r="P162" s="89">
        <v>0</v>
      </c>
    </row>
    <row r="163" spans="1:16" x14ac:dyDescent="0.35">
      <c r="A163" s="88" t="s">
        <v>44</v>
      </c>
      <c r="B163" s="88" t="s">
        <v>238</v>
      </c>
      <c r="C163" s="88" t="s">
        <v>239</v>
      </c>
      <c r="D163" s="88" t="s">
        <v>649</v>
      </c>
      <c r="E163" s="88" t="s">
        <v>650</v>
      </c>
      <c r="F163" s="89">
        <v>888</v>
      </c>
      <c r="G163" s="89">
        <v>8980</v>
      </c>
      <c r="H163" s="90">
        <v>9.8886414253897548E-2</v>
      </c>
      <c r="I163" s="91">
        <v>0.87049549549549554</v>
      </c>
      <c r="J163" s="91">
        <v>6.3063063063063057E-2</v>
      </c>
      <c r="K163" s="89">
        <v>580</v>
      </c>
      <c r="L163" s="89">
        <v>193</v>
      </c>
      <c r="M163" s="89">
        <v>50</v>
      </c>
      <c r="N163" s="89">
        <v>23</v>
      </c>
      <c r="O163" s="89">
        <v>33</v>
      </c>
      <c r="P163" s="89">
        <v>9</v>
      </c>
    </row>
    <row r="164" spans="1:16" x14ac:dyDescent="0.35">
      <c r="A164" s="88" t="s">
        <v>34</v>
      </c>
      <c r="B164" s="88" t="s">
        <v>240</v>
      </c>
      <c r="C164" s="88" t="s">
        <v>241</v>
      </c>
      <c r="D164" s="88" t="s">
        <v>651</v>
      </c>
      <c r="E164" s="88" t="s">
        <v>652</v>
      </c>
      <c r="F164" s="89">
        <v>1831</v>
      </c>
      <c r="G164" s="89">
        <v>9440</v>
      </c>
      <c r="H164" s="90">
        <v>0.19396186440677965</v>
      </c>
      <c r="I164" s="91">
        <v>0.90824685963954122</v>
      </c>
      <c r="J164" s="91">
        <v>5.5161114145275802E-2</v>
      </c>
      <c r="K164" s="89">
        <v>1492</v>
      </c>
      <c r="L164" s="89">
        <v>171</v>
      </c>
      <c r="M164" s="89">
        <v>48</v>
      </c>
      <c r="N164" s="89">
        <v>40</v>
      </c>
      <c r="O164" s="89">
        <v>61</v>
      </c>
      <c r="P164" s="89">
        <v>19</v>
      </c>
    </row>
    <row r="165" spans="1:16" x14ac:dyDescent="0.35">
      <c r="A165" s="88" t="s">
        <v>34</v>
      </c>
      <c r="B165" s="88" t="s">
        <v>242</v>
      </c>
      <c r="C165" s="88" t="s">
        <v>243</v>
      </c>
      <c r="D165" s="88" t="s">
        <v>653</v>
      </c>
      <c r="E165" s="88" t="s">
        <v>654</v>
      </c>
      <c r="F165" s="89">
        <v>320</v>
      </c>
      <c r="G165" s="89">
        <v>2320</v>
      </c>
      <c r="H165" s="90">
        <v>0.13793103448275862</v>
      </c>
      <c r="I165" s="91">
        <v>0.90312499999999996</v>
      </c>
      <c r="J165" s="91">
        <v>4.0625000000000001E-2</v>
      </c>
      <c r="K165" s="89">
        <v>210</v>
      </c>
      <c r="L165" s="89">
        <v>79</v>
      </c>
      <c r="M165" s="89">
        <v>11</v>
      </c>
      <c r="N165" s="89">
        <v>7</v>
      </c>
      <c r="O165" s="89">
        <v>6</v>
      </c>
      <c r="P165" s="89">
        <v>7</v>
      </c>
    </row>
    <row r="166" spans="1:16" x14ac:dyDescent="0.35">
      <c r="A166" s="88" t="s">
        <v>34</v>
      </c>
      <c r="B166" s="88" t="s">
        <v>242</v>
      </c>
      <c r="C166" s="88" t="s">
        <v>243</v>
      </c>
      <c r="D166" s="88" t="s">
        <v>655</v>
      </c>
      <c r="E166" s="88" t="s">
        <v>656</v>
      </c>
      <c r="F166" s="89">
        <v>925</v>
      </c>
      <c r="G166" s="89">
        <v>8688</v>
      </c>
      <c r="H166" s="90">
        <v>0.10646869244935543</v>
      </c>
      <c r="I166" s="91">
        <v>0.90594594594594591</v>
      </c>
      <c r="J166" s="91">
        <v>5.5135135135135134E-2</v>
      </c>
      <c r="K166" s="89">
        <v>531</v>
      </c>
      <c r="L166" s="89">
        <v>307</v>
      </c>
      <c r="M166" s="89">
        <v>27</v>
      </c>
      <c r="N166" s="89">
        <v>20</v>
      </c>
      <c r="O166" s="89">
        <v>31</v>
      </c>
      <c r="P166" s="89">
        <v>9</v>
      </c>
    </row>
    <row r="167" spans="1:16" x14ac:dyDescent="0.35">
      <c r="A167" s="88" t="s">
        <v>34</v>
      </c>
      <c r="B167" s="88" t="s">
        <v>242</v>
      </c>
      <c r="C167" s="88" t="s">
        <v>243</v>
      </c>
      <c r="D167" s="88" t="s">
        <v>657</v>
      </c>
      <c r="E167" s="88" t="s">
        <v>658</v>
      </c>
      <c r="F167" s="89">
        <v>98</v>
      </c>
      <c r="G167" s="89">
        <v>3381</v>
      </c>
      <c r="H167" s="90">
        <v>2.8985507246376812E-2</v>
      </c>
      <c r="I167" s="91">
        <v>0.96938775510204078</v>
      </c>
      <c r="J167" s="91">
        <v>2.0408163265306121E-2</v>
      </c>
      <c r="K167" s="89">
        <v>65</v>
      </c>
      <c r="L167" s="89">
        <v>30</v>
      </c>
      <c r="M167" s="89">
        <v>1</v>
      </c>
      <c r="N167" s="89">
        <v>1</v>
      </c>
      <c r="O167" s="89">
        <v>1</v>
      </c>
      <c r="P167" s="89">
        <v>0</v>
      </c>
    </row>
    <row r="168" spans="1:16" x14ac:dyDescent="0.35">
      <c r="A168" s="88" t="s">
        <v>34</v>
      </c>
      <c r="B168" s="88" t="s">
        <v>242</v>
      </c>
      <c r="C168" s="88" t="s">
        <v>243</v>
      </c>
      <c r="D168" s="88" t="s">
        <v>659</v>
      </c>
      <c r="E168" s="88" t="s">
        <v>660</v>
      </c>
      <c r="F168" s="89">
        <v>32</v>
      </c>
      <c r="G168" s="89">
        <v>976</v>
      </c>
      <c r="H168" s="90">
        <v>3.2786885245901641E-2</v>
      </c>
      <c r="I168" s="91">
        <v>0.96875</v>
      </c>
      <c r="J168" s="91">
        <v>3.125E-2</v>
      </c>
      <c r="K168" s="89">
        <v>25</v>
      </c>
      <c r="L168" s="89">
        <v>6</v>
      </c>
      <c r="M168" s="89">
        <v>0</v>
      </c>
      <c r="N168" s="89">
        <v>0</v>
      </c>
      <c r="O168" s="89">
        <v>1</v>
      </c>
      <c r="P168" s="89">
        <v>0</v>
      </c>
    </row>
    <row r="169" spans="1:16" x14ac:dyDescent="0.35">
      <c r="A169" s="88" t="s">
        <v>34</v>
      </c>
      <c r="B169" s="88" t="s">
        <v>242</v>
      </c>
      <c r="C169" s="88" t="s">
        <v>243</v>
      </c>
      <c r="D169" s="88" t="s">
        <v>661</v>
      </c>
      <c r="E169" s="88" t="s">
        <v>662</v>
      </c>
      <c r="F169" s="89">
        <v>202</v>
      </c>
      <c r="G169" s="89">
        <v>2697</v>
      </c>
      <c r="H169" s="90">
        <v>7.4898034853540976E-2</v>
      </c>
      <c r="I169" s="91">
        <v>0.98514851485148514</v>
      </c>
      <c r="J169" s="91">
        <v>0</v>
      </c>
      <c r="K169" s="89">
        <v>174</v>
      </c>
      <c r="L169" s="89">
        <v>25</v>
      </c>
      <c r="M169" s="89">
        <v>3</v>
      </c>
      <c r="N169" s="89">
        <v>0</v>
      </c>
      <c r="O169" s="89">
        <v>0</v>
      </c>
      <c r="P169" s="89">
        <v>0</v>
      </c>
    </row>
    <row r="170" spans="1:16" x14ac:dyDescent="0.35">
      <c r="A170" s="88" t="s">
        <v>34</v>
      </c>
      <c r="B170" s="88" t="s">
        <v>242</v>
      </c>
      <c r="C170" s="88" t="s">
        <v>243</v>
      </c>
      <c r="D170" s="88" t="s">
        <v>663</v>
      </c>
      <c r="E170" s="88" t="s">
        <v>664</v>
      </c>
      <c r="F170" s="89">
        <v>57</v>
      </c>
      <c r="G170" s="89">
        <v>208</v>
      </c>
      <c r="H170" s="90">
        <v>0.27403846153846156</v>
      </c>
      <c r="I170" s="91">
        <v>1</v>
      </c>
      <c r="J170" s="91">
        <v>0</v>
      </c>
      <c r="K170" s="89">
        <v>47</v>
      </c>
      <c r="L170" s="89">
        <v>10</v>
      </c>
      <c r="M170" s="89">
        <v>0</v>
      </c>
      <c r="N170" s="89">
        <v>0</v>
      </c>
      <c r="O170" s="89">
        <v>0</v>
      </c>
      <c r="P170" s="89">
        <v>0</v>
      </c>
    </row>
    <row r="171" spans="1:16" x14ac:dyDescent="0.35">
      <c r="A171" s="88" t="s">
        <v>34</v>
      </c>
      <c r="B171" s="88" t="s">
        <v>242</v>
      </c>
      <c r="C171" s="88" t="s">
        <v>243</v>
      </c>
      <c r="D171" s="88" t="s">
        <v>665</v>
      </c>
      <c r="E171" s="88" t="s">
        <v>666</v>
      </c>
      <c r="F171" s="89">
        <v>1373</v>
      </c>
      <c r="G171" s="89">
        <v>7362</v>
      </c>
      <c r="H171" s="90">
        <v>0.1864982341754958</v>
      </c>
      <c r="I171" s="91">
        <v>0.85360524399126003</v>
      </c>
      <c r="J171" s="91">
        <v>9.5411507647487251E-2</v>
      </c>
      <c r="K171" s="89">
        <v>995</v>
      </c>
      <c r="L171" s="89">
        <v>177</v>
      </c>
      <c r="M171" s="89">
        <v>49</v>
      </c>
      <c r="N171" s="89">
        <v>36</v>
      </c>
      <c r="O171" s="89">
        <v>95</v>
      </c>
      <c r="P171" s="89">
        <v>21</v>
      </c>
    </row>
    <row r="172" spans="1:16" x14ac:dyDescent="0.35">
      <c r="A172" s="88" t="s">
        <v>34</v>
      </c>
      <c r="B172" s="88" t="s">
        <v>244</v>
      </c>
      <c r="C172" s="88" t="s">
        <v>245</v>
      </c>
      <c r="D172" s="88" t="s">
        <v>667</v>
      </c>
      <c r="E172" s="88" t="s">
        <v>668</v>
      </c>
      <c r="F172" s="89">
        <v>667</v>
      </c>
      <c r="G172" s="89">
        <v>4746</v>
      </c>
      <c r="H172" s="90">
        <v>0.14053940160134851</v>
      </c>
      <c r="I172" s="91">
        <v>0.86656671664167917</v>
      </c>
      <c r="J172" s="91">
        <v>7.4962518740629688E-2</v>
      </c>
      <c r="K172" s="89">
        <v>457</v>
      </c>
      <c r="L172" s="89">
        <v>121</v>
      </c>
      <c r="M172" s="89">
        <v>26</v>
      </c>
      <c r="N172" s="89">
        <v>20</v>
      </c>
      <c r="O172" s="89">
        <v>30</v>
      </c>
      <c r="P172" s="89">
        <v>13</v>
      </c>
    </row>
    <row r="173" spans="1:16" x14ac:dyDescent="0.35">
      <c r="A173" s="88" t="s">
        <v>34</v>
      </c>
      <c r="B173" s="88" t="s">
        <v>244</v>
      </c>
      <c r="C173" s="88" t="s">
        <v>245</v>
      </c>
      <c r="D173" s="88" t="s">
        <v>669</v>
      </c>
      <c r="E173" s="88" t="s">
        <v>670</v>
      </c>
      <c r="F173" s="89">
        <v>779</v>
      </c>
      <c r="G173" s="89">
        <v>6615</v>
      </c>
      <c r="H173" s="90">
        <v>0.11776266061980348</v>
      </c>
      <c r="I173" s="91">
        <v>0.81899871630295251</v>
      </c>
      <c r="J173" s="91">
        <v>0.11681643132220795</v>
      </c>
      <c r="K173" s="89">
        <v>502</v>
      </c>
      <c r="L173" s="89">
        <v>136</v>
      </c>
      <c r="M173" s="89">
        <v>39</v>
      </c>
      <c r="N173" s="89">
        <v>32</v>
      </c>
      <c r="O173" s="89">
        <v>59</v>
      </c>
      <c r="P173" s="89">
        <v>11</v>
      </c>
    </row>
    <row r="174" spans="1:16" x14ac:dyDescent="0.35">
      <c r="A174" s="88" t="s">
        <v>34</v>
      </c>
      <c r="B174" s="88" t="s">
        <v>244</v>
      </c>
      <c r="C174" s="88" t="s">
        <v>245</v>
      </c>
      <c r="D174" s="88" t="s">
        <v>671</v>
      </c>
      <c r="E174" s="88" t="s">
        <v>672</v>
      </c>
      <c r="F174" s="89">
        <v>538</v>
      </c>
      <c r="G174" s="89">
        <v>4082</v>
      </c>
      <c r="H174" s="90">
        <v>0.13179813816756492</v>
      </c>
      <c r="I174" s="91">
        <v>0.8197026022304833</v>
      </c>
      <c r="J174" s="91">
        <v>0.12825278810408922</v>
      </c>
      <c r="K174" s="89">
        <v>342</v>
      </c>
      <c r="L174" s="89">
        <v>99</v>
      </c>
      <c r="M174" s="89">
        <v>23</v>
      </c>
      <c r="N174" s="89">
        <v>25</v>
      </c>
      <c r="O174" s="89">
        <v>44</v>
      </c>
      <c r="P174" s="89">
        <v>5</v>
      </c>
    </row>
    <row r="175" spans="1:16" x14ac:dyDescent="0.35">
      <c r="A175" s="88" t="s">
        <v>34</v>
      </c>
      <c r="B175" s="88" t="s">
        <v>244</v>
      </c>
      <c r="C175" s="88" t="s">
        <v>245</v>
      </c>
      <c r="D175" s="88" t="s">
        <v>673</v>
      </c>
      <c r="E175" s="88" t="s">
        <v>674</v>
      </c>
      <c r="F175" s="89">
        <v>786</v>
      </c>
      <c r="G175" s="89">
        <v>7148</v>
      </c>
      <c r="H175" s="90">
        <v>0.10996082820369334</v>
      </c>
      <c r="I175" s="91">
        <v>0.8282442748091603</v>
      </c>
      <c r="J175" s="91">
        <v>0.11323155216284987</v>
      </c>
      <c r="K175" s="89">
        <v>518</v>
      </c>
      <c r="L175" s="89">
        <v>133</v>
      </c>
      <c r="M175" s="89">
        <v>36</v>
      </c>
      <c r="N175" s="89">
        <v>33</v>
      </c>
      <c r="O175" s="89">
        <v>56</v>
      </c>
      <c r="P175" s="89">
        <v>10</v>
      </c>
    </row>
    <row r="176" spans="1:16" x14ac:dyDescent="0.35">
      <c r="A176" s="88" t="s">
        <v>34</v>
      </c>
      <c r="B176" s="88" t="s">
        <v>246</v>
      </c>
      <c r="C176" s="88" t="s">
        <v>247</v>
      </c>
      <c r="D176" s="88" t="s">
        <v>675</v>
      </c>
      <c r="E176" s="88" t="s">
        <v>676</v>
      </c>
      <c r="F176" s="89">
        <v>845</v>
      </c>
      <c r="G176" s="89">
        <v>4661</v>
      </c>
      <c r="H176" s="90">
        <v>0.18129156833297574</v>
      </c>
      <c r="I176" s="91">
        <v>0.87218934911242607</v>
      </c>
      <c r="J176" s="91">
        <v>6.6272189349112429E-2</v>
      </c>
      <c r="K176" s="89">
        <v>629</v>
      </c>
      <c r="L176" s="89">
        <v>108</v>
      </c>
      <c r="M176" s="89">
        <v>43</v>
      </c>
      <c r="N176" s="89">
        <v>16</v>
      </c>
      <c r="O176" s="89">
        <v>40</v>
      </c>
      <c r="P176" s="89">
        <v>9</v>
      </c>
    </row>
    <row r="177" spans="1:16" x14ac:dyDescent="0.35">
      <c r="A177" s="88" t="s">
        <v>34</v>
      </c>
      <c r="B177" s="88" t="s">
        <v>248</v>
      </c>
      <c r="C177" s="88" t="s">
        <v>249</v>
      </c>
      <c r="D177" s="88" t="s">
        <v>677</v>
      </c>
      <c r="E177" s="88" t="s">
        <v>678</v>
      </c>
      <c r="F177" s="89">
        <v>1082</v>
      </c>
      <c r="G177" s="89">
        <v>6690</v>
      </c>
      <c r="H177" s="90">
        <v>0.16173393124065769</v>
      </c>
      <c r="I177" s="91">
        <v>0.87985212569316085</v>
      </c>
      <c r="J177" s="91">
        <v>6.9316081330868765E-2</v>
      </c>
      <c r="K177" s="89">
        <v>775</v>
      </c>
      <c r="L177" s="89">
        <v>177</v>
      </c>
      <c r="M177" s="89">
        <v>44</v>
      </c>
      <c r="N177" s="89">
        <v>24</v>
      </c>
      <c r="O177" s="89">
        <v>51</v>
      </c>
      <c r="P177" s="89">
        <v>11</v>
      </c>
    </row>
    <row r="178" spans="1:16" x14ac:dyDescent="0.35">
      <c r="A178" s="88" t="s">
        <v>34</v>
      </c>
      <c r="B178" s="88" t="s">
        <v>250</v>
      </c>
      <c r="C178" s="88" t="s">
        <v>251</v>
      </c>
      <c r="D178" s="88" t="s">
        <v>679</v>
      </c>
      <c r="E178" s="88" t="s">
        <v>680</v>
      </c>
      <c r="F178" s="89">
        <v>1289</v>
      </c>
      <c r="G178" s="89">
        <v>9281</v>
      </c>
      <c r="H178" s="90">
        <v>0.13888589591638831</v>
      </c>
      <c r="I178" s="91">
        <v>0.74786656322730805</v>
      </c>
      <c r="J178" s="91">
        <v>0.1551590380139643</v>
      </c>
      <c r="K178" s="89">
        <v>631</v>
      </c>
      <c r="L178" s="89">
        <v>333</v>
      </c>
      <c r="M178" s="89">
        <v>112</v>
      </c>
      <c r="N178" s="89">
        <v>89</v>
      </c>
      <c r="O178" s="89">
        <v>111</v>
      </c>
      <c r="P178" s="89">
        <v>13</v>
      </c>
    </row>
    <row r="179" spans="1:16" x14ac:dyDescent="0.35">
      <c r="A179" s="88" t="s">
        <v>34</v>
      </c>
      <c r="B179" s="88" t="s">
        <v>252</v>
      </c>
      <c r="C179" s="88" t="s">
        <v>253</v>
      </c>
      <c r="D179" s="88" t="s">
        <v>681</v>
      </c>
      <c r="E179" s="88" t="s">
        <v>682</v>
      </c>
      <c r="F179" s="89">
        <v>997</v>
      </c>
      <c r="G179" s="89">
        <v>5380</v>
      </c>
      <c r="H179" s="90">
        <v>0.18531598513011152</v>
      </c>
      <c r="I179" s="91">
        <v>0.90471414242728188</v>
      </c>
      <c r="J179" s="91">
        <v>6.0180541624874621E-2</v>
      </c>
      <c r="K179" s="89">
        <v>776</v>
      </c>
      <c r="L179" s="89">
        <v>126</v>
      </c>
      <c r="M179" s="89">
        <v>28</v>
      </c>
      <c r="N179" s="89">
        <v>20</v>
      </c>
      <c r="O179" s="89">
        <v>40</v>
      </c>
      <c r="P179" s="89">
        <v>7</v>
      </c>
    </row>
    <row r="180" spans="1:16" x14ac:dyDescent="0.35">
      <c r="A180" s="88" t="s">
        <v>36</v>
      </c>
      <c r="B180" s="88" t="s">
        <v>254</v>
      </c>
      <c r="C180" s="88" t="s">
        <v>255</v>
      </c>
      <c r="D180" s="88" t="s">
        <v>683</v>
      </c>
      <c r="E180" s="88" t="s">
        <v>684</v>
      </c>
      <c r="F180" s="89">
        <v>212</v>
      </c>
      <c r="G180" s="89">
        <v>4702</v>
      </c>
      <c r="H180" s="90">
        <v>4.5087196937473414E-2</v>
      </c>
      <c r="I180" s="91">
        <v>0.95283018867924529</v>
      </c>
      <c r="J180" s="91">
        <v>1.8867924528301886E-2</v>
      </c>
      <c r="K180" s="89">
        <v>176</v>
      </c>
      <c r="L180" s="89">
        <v>26</v>
      </c>
      <c r="M180" s="89">
        <v>5</v>
      </c>
      <c r="N180" s="89">
        <v>3</v>
      </c>
      <c r="O180" s="89">
        <v>1</v>
      </c>
      <c r="P180" s="89">
        <v>1</v>
      </c>
    </row>
    <row r="181" spans="1:16" x14ac:dyDescent="0.35">
      <c r="A181" s="88" t="s">
        <v>36</v>
      </c>
      <c r="B181" s="88" t="s">
        <v>256</v>
      </c>
      <c r="C181" s="88" t="s">
        <v>257</v>
      </c>
      <c r="D181" s="88" t="s">
        <v>685</v>
      </c>
      <c r="E181" s="88" t="s">
        <v>686</v>
      </c>
      <c r="F181" s="89">
        <v>2244</v>
      </c>
      <c r="G181" s="89">
        <v>10266</v>
      </c>
      <c r="H181" s="90">
        <v>0.21858562244301577</v>
      </c>
      <c r="I181" s="91">
        <v>0.84269162210338677</v>
      </c>
      <c r="J181" s="91">
        <v>9.3582887700534759E-2</v>
      </c>
      <c r="K181" s="89">
        <v>1535</v>
      </c>
      <c r="L181" s="89">
        <v>356</v>
      </c>
      <c r="M181" s="89">
        <v>87</v>
      </c>
      <c r="N181" s="89">
        <v>70</v>
      </c>
      <c r="O181" s="89">
        <v>140</v>
      </c>
      <c r="P181" s="89">
        <v>56</v>
      </c>
    </row>
    <row r="182" spans="1:16" x14ac:dyDescent="0.35">
      <c r="A182" s="88" t="s">
        <v>36</v>
      </c>
      <c r="B182" s="88" t="s">
        <v>258</v>
      </c>
      <c r="C182" s="88" t="s">
        <v>259</v>
      </c>
      <c r="D182" s="88" t="s">
        <v>687</v>
      </c>
      <c r="E182" s="88" t="s">
        <v>688</v>
      </c>
      <c r="F182" s="89">
        <v>238</v>
      </c>
      <c r="G182" s="89">
        <v>1894</v>
      </c>
      <c r="H182" s="90">
        <v>0.12565997888067582</v>
      </c>
      <c r="I182" s="91">
        <v>0.95378151260504207</v>
      </c>
      <c r="J182" s="91">
        <v>3.3613445378151259E-2</v>
      </c>
      <c r="K182" s="89">
        <v>204</v>
      </c>
      <c r="L182" s="89">
        <v>23</v>
      </c>
      <c r="M182" s="89">
        <v>3</v>
      </c>
      <c r="N182" s="89">
        <v>5</v>
      </c>
      <c r="O182" s="89">
        <v>3</v>
      </c>
      <c r="P182" s="89">
        <v>0</v>
      </c>
    </row>
    <row r="183" spans="1:16" x14ac:dyDescent="0.35">
      <c r="A183" s="88" t="s">
        <v>36</v>
      </c>
      <c r="B183" s="88" t="s">
        <v>258</v>
      </c>
      <c r="C183" s="88" t="s">
        <v>259</v>
      </c>
      <c r="D183" s="88" t="s">
        <v>689</v>
      </c>
      <c r="E183" s="88" t="s">
        <v>690</v>
      </c>
      <c r="F183" s="89">
        <v>323</v>
      </c>
      <c r="G183" s="89">
        <v>2320</v>
      </c>
      <c r="H183" s="90">
        <v>0.13922413793103447</v>
      </c>
      <c r="I183" s="91">
        <v>0.8173374613003096</v>
      </c>
      <c r="J183" s="91">
        <v>0.11455108359133127</v>
      </c>
      <c r="K183" s="89">
        <v>219</v>
      </c>
      <c r="L183" s="89">
        <v>45</v>
      </c>
      <c r="M183" s="89">
        <v>17</v>
      </c>
      <c r="N183" s="89">
        <v>17</v>
      </c>
      <c r="O183" s="89">
        <v>20</v>
      </c>
      <c r="P183" s="89">
        <v>5</v>
      </c>
    </row>
    <row r="184" spans="1:16" x14ac:dyDescent="0.35">
      <c r="A184" s="88" t="s">
        <v>36</v>
      </c>
      <c r="B184" s="88" t="s">
        <v>260</v>
      </c>
      <c r="C184" s="88" t="s">
        <v>261</v>
      </c>
      <c r="D184" s="88" t="s">
        <v>691</v>
      </c>
      <c r="E184" s="88" t="s">
        <v>692</v>
      </c>
      <c r="F184" s="89">
        <v>345</v>
      </c>
      <c r="G184" s="89">
        <v>1895</v>
      </c>
      <c r="H184" s="90">
        <v>0.18205804749340371</v>
      </c>
      <c r="I184" s="91">
        <v>0.90724637681159426</v>
      </c>
      <c r="J184" s="91">
        <v>5.5072463768115941E-2</v>
      </c>
      <c r="K184" s="89">
        <v>258</v>
      </c>
      <c r="L184" s="89">
        <v>55</v>
      </c>
      <c r="M184" s="89">
        <v>10</v>
      </c>
      <c r="N184" s="89">
        <v>9</v>
      </c>
      <c r="O184" s="89">
        <v>10</v>
      </c>
      <c r="P184" s="89">
        <v>3</v>
      </c>
    </row>
    <row r="185" spans="1:16" x14ac:dyDescent="0.35">
      <c r="A185" s="88" t="s">
        <v>36</v>
      </c>
      <c r="B185" s="88" t="s">
        <v>260</v>
      </c>
      <c r="C185" s="88" t="s">
        <v>261</v>
      </c>
      <c r="D185" s="88" t="s">
        <v>693</v>
      </c>
      <c r="E185" s="88" t="s">
        <v>694</v>
      </c>
      <c r="F185" s="89">
        <v>589</v>
      </c>
      <c r="G185" s="89">
        <v>3043</v>
      </c>
      <c r="H185" s="90">
        <v>0.19355898784094644</v>
      </c>
      <c r="I185" s="91">
        <v>0.83870967741935487</v>
      </c>
      <c r="J185" s="91">
        <v>0.11205432937181664</v>
      </c>
      <c r="K185" s="89">
        <v>390</v>
      </c>
      <c r="L185" s="89">
        <v>104</v>
      </c>
      <c r="M185" s="89">
        <v>22</v>
      </c>
      <c r="N185" s="89">
        <v>30</v>
      </c>
      <c r="O185" s="89">
        <v>36</v>
      </c>
      <c r="P185" s="89">
        <v>7</v>
      </c>
    </row>
    <row r="186" spans="1:16" x14ac:dyDescent="0.35">
      <c r="A186" s="88" t="s">
        <v>36</v>
      </c>
      <c r="B186" s="88" t="s">
        <v>260</v>
      </c>
      <c r="C186" s="88" t="s">
        <v>261</v>
      </c>
      <c r="D186" s="88" t="s">
        <v>695</v>
      </c>
      <c r="E186" s="88" t="s">
        <v>696</v>
      </c>
      <c r="F186" s="89">
        <v>436</v>
      </c>
      <c r="G186" s="89">
        <v>1539</v>
      </c>
      <c r="H186" s="90">
        <v>0.28330084470435346</v>
      </c>
      <c r="I186" s="91">
        <v>0.94495412844036697</v>
      </c>
      <c r="J186" s="91">
        <v>2.9816513761467892E-2</v>
      </c>
      <c r="K186" s="89">
        <v>361</v>
      </c>
      <c r="L186" s="89">
        <v>51</v>
      </c>
      <c r="M186" s="89">
        <v>7</v>
      </c>
      <c r="N186" s="89">
        <v>6</v>
      </c>
      <c r="O186" s="89">
        <v>7</v>
      </c>
      <c r="P186" s="89">
        <v>4</v>
      </c>
    </row>
    <row r="187" spans="1:16" x14ac:dyDescent="0.35">
      <c r="A187" s="88" t="s">
        <v>46</v>
      </c>
      <c r="B187" s="88" t="s">
        <v>262</v>
      </c>
      <c r="C187" s="88" t="s">
        <v>263</v>
      </c>
      <c r="D187" s="88" t="s">
        <v>697</v>
      </c>
      <c r="E187" s="88" t="s">
        <v>698</v>
      </c>
      <c r="F187" s="89">
        <v>820</v>
      </c>
      <c r="G187" s="89">
        <v>3127</v>
      </c>
      <c r="H187" s="90">
        <v>0.26223217141029742</v>
      </c>
      <c r="I187" s="91">
        <v>0.82804878048780484</v>
      </c>
      <c r="J187" s="91">
        <v>0.10731707317073171</v>
      </c>
      <c r="K187" s="89">
        <v>546</v>
      </c>
      <c r="L187" s="89">
        <v>133</v>
      </c>
      <c r="M187" s="89">
        <v>30</v>
      </c>
      <c r="N187" s="89">
        <v>36</v>
      </c>
      <c r="O187" s="89">
        <v>52</v>
      </c>
      <c r="P187" s="89">
        <v>23</v>
      </c>
    </row>
    <row r="188" spans="1:16" x14ac:dyDescent="0.35">
      <c r="A188" s="88" t="s">
        <v>46</v>
      </c>
      <c r="B188" s="88" t="s">
        <v>264</v>
      </c>
      <c r="C188" s="88" t="s">
        <v>265</v>
      </c>
      <c r="D188" s="88" t="s">
        <v>699</v>
      </c>
      <c r="E188" s="88" t="s">
        <v>700</v>
      </c>
      <c r="F188" s="89">
        <v>41</v>
      </c>
      <c r="G188" s="89">
        <v>2961</v>
      </c>
      <c r="H188" s="90">
        <v>1.3846673421141506E-2</v>
      </c>
      <c r="I188" s="91">
        <v>0.80487804878048785</v>
      </c>
      <c r="J188" s="91">
        <v>0.12195121951219512</v>
      </c>
      <c r="K188" s="89" t="s">
        <v>266</v>
      </c>
      <c r="L188" s="89" t="s">
        <v>266</v>
      </c>
      <c r="M188" s="89" t="s">
        <v>266</v>
      </c>
      <c r="N188" s="89" t="s">
        <v>266</v>
      </c>
      <c r="O188" s="89" t="s">
        <v>266</v>
      </c>
      <c r="P188" s="89" t="s">
        <v>266</v>
      </c>
    </row>
    <row r="189" spans="1:16" x14ac:dyDescent="0.35">
      <c r="A189" s="88" t="s">
        <v>46</v>
      </c>
      <c r="B189" s="88" t="s">
        <v>267</v>
      </c>
      <c r="C189" s="88" t="s">
        <v>268</v>
      </c>
      <c r="D189" s="88" t="s">
        <v>701</v>
      </c>
      <c r="E189" s="88" t="s">
        <v>702</v>
      </c>
      <c r="F189" s="89">
        <v>969</v>
      </c>
      <c r="G189" s="89">
        <v>3652</v>
      </c>
      <c r="H189" s="90">
        <v>0.26533406352683458</v>
      </c>
      <c r="I189" s="91">
        <v>0.83384932920536636</v>
      </c>
      <c r="J189" s="91">
        <v>0.12280701754385964</v>
      </c>
      <c r="K189" s="89">
        <v>634</v>
      </c>
      <c r="L189" s="89">
        <v>174</v>
      </c>
      <c r="M189" s="89">
        <v>20</v>
      </c>
      <c r="N189" s="89">
        <v>46</v>
      </c>
      <c r="O189" s="89">
        <v>73</v>
      </c>
      <c r="P189" s="89">
        <v>22</v>
      </c>
    </row>
    <row r="190" spans="1:16" x14ac:dyDescent="0.35">
      <c r="A190" s="88" t="s">
        <v>46</v>
      </c>
      <c r="B190" s="88" t="s">
        <v>269</v>
      </c>
      <c r="C190" s="88" t="s">
        <v>270</v>
      </c>
      <c r="D190" s="88" t="s">
        <v>703</v>
      </c>
      <c r="E190" s="88" t="s">
        <v>704</v>
      </c>
      <c r="F190" s="89">
        <v>825</v>
      </c>
      <c r="G190" s="89">
        <v>5825</v>
      </c>
      <c r="H190" s="90">
        <v>0.14163090128755365</v>
      </c>
      <c r="I190" s="91">
        <v>0.87272727272727268</v>
      </c>
      <c r="J190" s="91">
        <v>6.424242424242424E-2</v>
      </c>
      <c r="K190" s="89">
        <v>571</v>
      </c>
      <c r="L190" s="89">
        <v>149</v>
      </c>
      <c r="M190" s="89">
        <v>44</v>
      </c>
      <c r="N190" s="89">
        <v>27</v>
      </c>
      <c r="O190" s="89">
        <v>26</v>
      </c>
      <c r="P190" s="89">
        <v>8</v>
      </c>
    </row>
    <row r="191" spans="1:16" x14ac:dyDescent="0.35">
      <c r="A191" s="88" t="s">
        <v>46</v>
      </c>
      <c r="B191" s="88" t="s">
        <v>269</v>
      </c>
      <c r="C191" s="88" t="s">
        <v>270</v>
      </c>
      <c r="D191" s="88" t="s">
        <v>705</v>
      </c>
      <c r="E191" s="88" t="s">
        <v>706</v>
      </c>
      <c r="F191" s="89">
        <v>261</v>
      </c>
      <c r="G191" s="89">
        <v>2128</v>
      </c>
      <c r="H191" s="90">
        <v>0.12265037593984962</v>
      </c>
      <c r="I191" s="91">
        <v>0.90421455938697315</v>
      </c>
      <c r="J191" s="91">
        <v>4.9808429118773943E-2</v>
      </c>
      <c r="K191" s="89">
        <v>196</v>
      </c>
      <c r="L191" s="89">
        <v>40</v>
      </c>
      <c r="M191" s="89">
        <v>9</v>
      </c>
      <c r="N191" s="89">
        <v>7</v>
      </c>
      <c r="O191" s="89">
        <v>6</v>
      </c>
      <c r="P191" s="89">
        <v>3</v>
      </c>
    </row>
    <row r="192" spans="1:16" x14ac:dyDescent="0.35">
      <c r="A192" s="88" t="s">
        <v>46</v>
      </c>
      <c r="B192" s="88" t="s">
        <v>271</v>
      </c>
      <c r="C192" s="88" t="s">
        <v>272</v>
      </c>
      <c r="D192" s="88" t="s">
        <v>707</v>
      </c>
      <c r="E192" s="88" t="s">
        <v>708</v>
      </c>
      <c r="F192" s="89">
        <v>0</v>
      </c>
      <c r="G192" s="89">
        <v>4179</v>
      </c>
      <c r="H192" s="90">
        <v>0</v>
      </c>
      <c r="I192" s="91" t="s">
        <v>11</v>
      </c>
      <c r="J192" s="91" t="s">
        <v>11</v>
      </c>
      <c r="K192" s="89">
        <v>0</v>
      </c>
      <c r="L192" s="89">
        <v>0</v>
      </c>
      <c r="M192" s="89">
        <v>0</v>
      </c>
      <c r="N192" s="89">
        <v>0</v>
      </c>
      <c r="O192" s="89">
        <v>0</v>
      </c>
      <c r="P192" s="89">
        <v>0</v>
      </c>
    </row>
    <row r="193" spans="1:16" x14ac:dyDescent="0.35">
      <c r="A193" s="88" t="s">
        <v>46</v>
      </c>
      <c r="B193" s="88" t="s">
        <v>273</v>
      </c>
      <c r="C193" s="88" t="s">
        <v>274</v>
      </c>
      <c r="D193" s="88" t="s">
        <v>709</v>
      </c>
      <c r="E193" s="88" t="s">
        <v>710</v>
      </c>
      <c r="F193" s="89">
        <v>241</v>
      </c>
      <c r="G193" s="89">
        <v>3849</v>
      </c>
      <c r="H193" s="90">
        <v>6.2613665887243444E-2</v>
      </c>
      <c r="I193" s="91">
        <v>0.90871369294605808</v>
      </c>
      <c r="J193" s="91">
        <v>5.3941908713692949E-2</v>
      </c>
      <c r="K193" s="89">
        <v>188</v>
      </c>
      <c r="L193" s="89">
        <v>31</v>
      </c>
      <c r="M193" s="89">
        <v>5</v>
      </c>
      <c r="N193" s="89">
        <v>5</v>
      </c>
      <c r="O193" s="89">
        <v>8</v>
      </c>
      <c r="P193" s="89">
        <v>4</v>
      </c>
    </row>
    <row r="194" spans="1:16" x14ac:dyDescent="0.35">
      <c r="A194" s="88" t="s">
        <v>46</v>
      </c>
      <c r="B194" s="88" t="s">
        <v>275</v>
      </c>
      <c r="C194" s="88" t="s">
        <v>276</v>
      </c>
      <c r="D194" s="88" t="s">
        <v>711</v>
      </c>
      <c r="E194" s="88" t="s">
        <v>712</v>
      </c>
      <c r="F194" s="89">
        <v>552</v>
      </c>
      <c r="G194" s="89">
        <v>8242</v>
      </c>
      <c r="H194" s="90">
        <v>6.697403542829411E-2</v>
      </c>
      <c r="I194" s="91">
        <v>0.86594202898550721</v>
      </c>
      <c r="J194" s="91">
        <v>8.8768115942028991E-2</v>
      </c>
      <c r="K194" s="89">
        <v>441</v>
      </c>
      <c r="L194" s="89">
        <v>37</v>
      </c>
      <c r="M194" s="89">
        <v>15</v>
      </c>
      <c r="N194" s="89">
        <v>13</v>
      </c>
      <c r="O194" s="89">
        <v>36</v>
      </c>
      <c r="P194" s="89">
        <v>10</v>
      </c>
    </row>
    <row r="195" spans="1:16" x14ac:dyDescent="0.35">
      <c r="A195" s="88" t="s">
        <v>46</v>
      </c>
      <c r="B195" s="88" t="s">
        <v>277</v>
      </c>
      <c r="C195" s="88" t="s">
        <v>278</v>
      </c>
      <c r="D195" s="88" t="s">
        <v>713</v>
      </c>
      <c r="E195" s="88" t="s">
        <v>714</v>
      </c>
      <c r="F195" s="89">
        <v>2</v>
      </c>
      <c r="G195" s="89">
        <v>5459</v>
      </c>
      <c r="H195" s="90">
        <v>3.6636746656896867E-4</v>
      </c>
      <c r="I195" s="91" t="s">
        <v>266</v>
      </c>
      <c r="J195" s="91" t="s">
        <v>266</v>
      </c>
      <c r="K195" s="89" t="s">
        <v>266</v>
      </c>
      <c r="L195" s="89" t="s">
        <v>266</v>
      </c>
      <c r="M195" s="89" t="s">
        <v>266</v>
      </c>
      <c r="N195" s="89" t="s">
        <v>266</v>
      </c>
      <c r="O195" s="89" t="s">
        <v>266</v>
      </c>
      <c r="P195" s="89" t="s">
        <v>266</v>
      </c>
    </row>
    <row r="196" spans="1:16" x14ac:dyDescent="0.35">
      <c r="A196" s="88" t="s">
        <v>46</v>
      </c>
      <c r="B196" s="88" t="s">
        <v>279</v>
      </c>
      <c r="C196" s="88" t="s">
        <v>280</v>
      </c>
      <c r="D196" s="88" t="s">
        <v>715</v>
      </c>
      <c r="E196" s="88" t="s">
        <v>716</v>
      </c>
      <c r="F196" s="89">
        <v>957</v>
      </c>
      <c r="G196" s="89">
        <v>12109</v>
      </c>
      <c r="H196" s="90">
        <v>7.90321248658023E-2</v>
      </c>
      <c r="I196" s="91">
        <v>0.95820271682340652</v>
      </c>
      <c r="J196" s="91">
        <v>6.269592476489028E-3</v>
      </c>
      <c r="K196" s="89">
        <v>738</v>
      </c>
      <c r="L196" s="89">
        <v>179</v>
      </c>
      <c r="M196" s="89">
        <v>23</v>
      </c>
      <c r="N196" s="89">
        <v>4</v>
      </c>
      <c r="O196" s="89">
        <v>2</v>
      </c>
      <c r="P196" s="89">
        <v>11</v>
      </c>
    </row>
    <row r="197" spans="1:16" x14ac:dyDescent="0.35">
      <c r="A197" s="88" t="s">
        <v>46</v>
      </c>
      <c r="B197" s="88" t="s">
        <v>279</v>
      </c>
      <c r="C197" s="88" t="s">
        <v>280</v>
      </c>
      <c r="D197" s="88" t="s">
        <v>717</v>
      </c>
      <c r="E197" s="88" t="s">
        <v>718</v>
      </c>
      <c r="F197" s="89">
        <v>160</v>
      </c>
      <c r="G197" s="89">
        <v>4355</v>
      </c>
      <c r="H197" s="90">
        <v>3.6739380022962113E-2</v>
      </c>
      <c r="I197" s="91">
        <v>1</v>
      </c>
      <c r="J197" s="91">
        <v>0</v>
      </c>
      <c r="K197" s="89">
        <v>151</v>
      </c>
      <c r="L197" s="89">
        <v>9</v>
      </c>
      <c r="M197" s="89">
        <v>0</v>
      </c>
      <c r="N197" s="89">
        <v>0</v>
      </c>
      <c r="O197" s="89">
        <v>0</v>
      </c>
      <c r="P197" s="89">
        <v>0</v>
      </c>
    </row>
    <row r="198" spans="1:16" x14ac:dyDescent="0.35">
      <c r="A198" s="88" t="s">
        <v>46</v>
      </c>
      <c r="B198" s="88" t="s">
        <v>281</v>
      </c>
      <c r="C198" s="88" t="s">
        <v>282</v>
      </c>
      <c r="D198" s="88" t="s">
        <v>719</v>
      </c>
      <c r="E198" s="88" t="s">
        <v>720</v>
      </c>
      <c r="F198" s="89">
        <v>106</v>
      </c>
      <c r="G198" s="89">
        <v>3594</v>
      </c>
      <c r="H198" s="90">
        <v>2.9493600445186421E-2</v>
      </c>
      <c r="I198" s="91">
        <v>0.94339622641509435</v>
      </c>
      <c r="J198" s="91">
        <v>2.8301886792452831E-2</v>
      </c>
      <c r="K198" s="89">
        <v>88</v>
      </c>
      <c r="L198" s="89">
        <v>12</v>
      </c>
      <c r="M198" s="89">
        <v>2</v>
      </c>
      <c r="N198" s="89">
        <v>1</v>
      </c>
      <c r="O198" s="89">
        <v>2</v>
      </c>
      <c r="P198" s="89">
        <v>1</v>
      </c>
    </row>
    <row r="199" spans="1:16" x14ac:dyDescent="0.35">
      <c r="A199" s="88" t="s">
        <v>48</v>
      </c>
      <c r="B199" s="88" t="s">
        <v>283</v>
      </c>
      <c r="C199" s="88" t="s">
        <v>284</v>
      </c>
      <c r="D199" s="88" t="s">
        <v>721</v>
      </c>
      <c r="E199" s="88" t="s">
        <v>722</v>
      </c>
      <c r="F199" s="89">
        <v>397</v>
      </c>
      <c r="G199" s="89">
        <v>2122</v>
      </c>
      <c r="H199" s="90">
        <v>0.18708765315739867</v>
      </c>
      <c r="I199" s="91">
        <v>0.8513853904282116</v>
      </c>
      <c r="J199" s="91">
        <v>8.8161209068010074E-2</v>
      </c>
      <c r="K199" s="89">
        <v>287</v>
      </c>
      <c r="L199" s="89">
        <v>51</v>
      </c>
      <c r="M199" s="89">
        <v>17</v>
      </c>
      <c r="N199" s="89">
        <v>15</v>
      </c>
      <c r="O199" s="89">
        <v>20</v>
      </c>
      <c r="P199" s="89">
        <v>7</v>
      </c>
    </row>
    <row r="200" spans="1:16" x14ac:dyDescent="0.35">
      <c r="A200" s="88" t="s">
        <v>48</v>
      </c>
      <c r="B200" s="88" t="s">
        <v>283</v>
      </c>
      <c r="C200" s="88" t="s">
        <v>284</v>
      </c>
      <c r="D200" s="88" t="s">
        <v>723</v>
      </c>
      <c r="E200" s="88" t="s">
        <v>724</v>
      </c>
      <c r="F200" s="89">
        <v>537</v>
      </c>
      <c r="G200" s="89">
        <v>3429</v>
      </c>
      <c r="H200" s="90">
        <v>0.15660542432195976</v>
      </c>
      <c r="I200" s="91">
        <v>0.75791433891992555</v>
      </c>
      <c r="J200" s="91">
        <v>0.15642458100558659</v>
      </c>
      <c r="K200" s="89">
        <v>308</v>
      </c>
      <c r="L200" s="89">
        <v>99</v>
      </c>
      <c r="M200" s="89">
        <v>38</v>
      </c>
      <c r="N200" s="89">
        <v>25</v>
      </c>
      <c r="O200" s="89">
        <v>59</v>
      </c>
      <c r="P200" s="89">
        <v>8</v>
      </c>
    </row>
    <row r="201" spans="1:16" x14ac:dyDescent="0.35">
      <c r="A201" s="88" t="s">
        <v>48</v>
      </c>
      <c r="B201" s="88" t="s">
        <v>285</v>
      </c>
      <c r="C201" s="88" t="s">
        <v>286</v>
      </c>
      <c r="D201" s="88" t="s">
        <v>725</v>
      </c>
      <c r="E201" s="88" t="s">
        <v>726</v>
      </c>
      <c r="F201" s="89">
        <v>372</v>
      </c>
      <c r="G201" s="89">
        <v>5047</v>
      </c>
      <c r="H201" s="90">
        <v>7.3707152764018236E-2</v>
      </c>
      <c r="I201" s="91">
        <v>0.793010752688172</v>
      </c>
      <c r="J201" s="91">
        <v>0.14516129032258066</v>
      </c>
      <c r="K201" s="89">
        <v>228</v>
      </c>
      <c r="L201" s="89">
        <v>67</v>
      </c>
      <c r="M201" s="89">
        <v>21</v>
      </c>
      <c r="N201" s="89">
        <v>22</v>
      </c>
      <c r="O201" s="89">
        <v>32</v>
      </c>
      <c r="P201" s="89">
        <v>2</v>
      </c>
    </row>
    <row r="202" spans="1:16" x14ac:dyDescent="0.35">
      <c r="A202" s="88" t="s">
        <v>48</v>
      </c>
      <c r="B202" s="88" t="s">
        <v>287</v>
      </c>
      <c r="C202" s="88" t="s">
        <v>288</v>
      </c>
      <c r="D202" s="88" t="s">
        <v>727</v>
      </c>
      <c r="E202" s="88" t="s">
        <v>728</v>
      </c>
      <c r="F202" s="89">
        <v>1453</v>
      </c>
      <c r="G202" s="89">
        <v>7425</v>
      </c>
      <c r="H202" s="90">
        <v>0.19569023569023569</v>
      </c>
      <c r="I202" s="91">
        <v>0.84033035099793529</v>
      </c>
      <c r="J202" s="91">
        <v>0.10805230557467309</v>
      </c>
      <c r="K202" s="89">
        <v>1020</v>
      </c>
      <c r="L202" s="89">
        <v>201</v>
      </c>
      <c r="M202" s="89">
        <v>65</v>
      </c>
      <c r="N202" s="89">
        <v>48</v>
      </c>
      <c r="O202" s="89">
        <v>109</v>
      </c>
      <c r="P202" s="89">
        <v>10</v>
      </c>
    </row>
    <row r="203" spans="1:16" x14ac:dyDescent="0.35">
      <c r="A203" s="88" t="s">
        <v>48</v>
      </c>
      <c r="B203" s="88" t="s">
        <v>289</v>
      </c>
      <c r="C203" s="88" t="s">
        <v>290</v>
      </c>
      <c r="D203" s="88" t="s">
        <v>729</v>
      </c>
      <c r="E203" s="88" t="s">
        <v>730</v>
      </c>
      <c r="F203" s="89">
        <v>1027</v>
      </c>
      <c r="G203" s="89">
        <v>5963</v>
      </c>
      <c r="H203" s="90">
        <v>0.17222874392084522</v>
      </c>
      <c r="I203" s="91">
        <v>0.95326192794547226</v>
      </c>
      <c r="J203" s="91">
        <v>1.3631937682570594E-2</v>
      </c>
      <c r="K203" s="89">
        <v>770</v>
      </c>
      <c r="L203" s="89">
        <v>209</v>
      </c>
      <c r="M203" s="89">
        <v>30</v>
      </c>
      <c r="N203" s="89">
        <v>5</v>
      </c>
      <c r="O203" s="89">
        <v>9</v>
      </c>
      <c r="P203" s="89">
        <v>4</v>
      </c>
    </row>
    <row r="204" spans="1:16" x14ac:dyDescent="0.35">
      <c r="A204" s="88" t="s">
        <v>48</v>
      </c>
      <c r="B204" s="88" t="s">
        <v>289</v>
      </c>
      <c r="C204" s="88" t="s">
        <v>290</v>
      </c>
      <c r="D204" s="88" t="s">
        <v>731</v>
      </c>
      <c r="E204" s="88" t="s">
        <v>732</v>
      </c>
      <c r="F204" s="89">
        <v>7</v>
      </c>
      <c r="G204" s="89">
        <v>1001</v>
      </c>
      <c r="H204" s="90">
        <v>6.993006993006993E-3</v>
      </c>
      <c r="I204" s="91">
        <v>0.8571428571428571</v>
      </c>
      <c r="J204" s="91">
        <v>0.14285714285714285</v>
      </c>
      <c r="K204" s="89">
        <v>6</v>
      </c>
      <c r="L204" s="89">
        <v>0</v>
      </c>
      <c r="M204" s="89">
        <v>0</v>
      </c>
      <c r="N204" s="89">
        <v>1</v>
      </c>
      <c r="O204" s="89">
        <v>0</v>
      </c>
      <c r="P204" s="89">
        <v>0</v>
      </c>
    </row>
    <row r="205" spans="1:16" x14ac:dyDescent="0.35">
      <c r="A205" s="88" t="s">
        <v>48</v>
      </c>
      <c r="B205" s="88" t="s">
        <v>291</v>
      </c>
      <c r="C205" s="88" t="s">
        <v>292</v>
      </c>
      <c r="D205" s="88" t="s">
        <v>733</v>
      </c>
      <c r="E205" s="88" t="s">
        <v>734</v>
      </c>
      <c r="F205" s="89">
        <v>26</v>
      </c>
      <c r="G205" s="89">
        <v>3453</v>
      </c>
      <c r="H205" s="90">
        <v>7.5296843324645238E-3</v>
      </c>
      <c r="I205" s="91">
        <v>0.96153846153846156</v>
      </c>
      <c r="J205" s="91">
        <v>3.8461538461538464E-2</v>
      </c>
      <c r="K205" s="89">
        <v>23</v>
      </c>
      <c r="L205" s="89">
        <v>2</v>
      </c>
      <c r="M205" s="89">
        <v>0</v>
      </c>
      <c r="N205" s="89">
        <v>0</v>
      </c>
      <c r="O205" s="89">
        <v>1</v>
      </c>
      <c r="P205" s="89">
        <v>0</v>
      </c>
    </row>
    <row r="206" spans="1:16" x14ac:dyDescent="0.35">
      <c r="A206" s="88" t="s">
        <v>48</v>
      </c>
      <c r="B206" s="88" t="s">
        <v>293</v>
      </c>
      <c r="C206" s="88" t="s">
        <v>294</v>
      </c>
      <c r="D206" s="88" t="s">
        <v>735</v>
      </c>
      <c r="E206" s="88" t="s">
        <v>736</v>
      </c>
      <c r="F206" s="89">
        <v>592</v>
      </c>
      <c r="G206" s="89">
        <v>2159</v>
      </c>
      <c r="H206" s="90">
        <v>0.27420101899027327</v>
      </c>
      <c r="I206" s="91">
        <v>0.9375</v>
      </c>
      <c r="J206" s="91">
        <v>1.5202702702702704E-2</v>
      </c>
      <c r="K206" s="89">
        <v>456</v>
      </c>
      <c r="L206" s="89">
        <v>99</v>
      </c>
      <c r="M206" s="89">
        <v>23</v>
      </c>
      <c r="N206" s="89">
        <v>1</v>
      </c>
      <c r="O206" s="89">
        <v>8</v>
      </c>
      <c r="P206" s="89">
        <v>5</v>
      </c>
    </row>
    <row r="207" spans="1:16" x14ac:dyDescent="0.35">
      <c r="A207" s="88" t="s">
        <v>48</v>
      </c>
      <c r="B207" s="88" t="s">
        <v>293</v>
      </c>
      <c r="C207" s="88" t="s">
        <v>294</v>
      </c>
      <c r="D207" s="88" t="s">
        <v>737</v>
      </c>
      <c r="E207" s="88" t="s">
        <v>738</v>
      </c>
      <c r="F207" s="89">
        <v>498</v>
      </c>
      <c r="G207" s="89">
        <v>2811</v>
      </c>
      <c r="H207" s="90">
        <v>0.17716115261472787</v>
      </c>
      <c r="I207" s="91">
        <v>0.86345381526104414</v>
      </c>
      <c r="J207" s="91">
        <v>5.4216867469879519E-2</v>
      </c>
      <c r="K207" s="89">
        <v>351</v>
      </c>
      <c r="L207" s="89">
        <v>79</v>
      </c>
      <c r="M207" s="89">
        <v>24</v>
      </c>
      <c r="N207" s="89">
        <v>13</v>
      </c>
      <c r="O207" s="89">
        <v>14</v>
      </c>
      <c r="P207" s="89">
        <v>17</v>
      </c>
    </row>
    <row r="208" spans="1:16" x14ac:dyDescent="0.35">
      <c r="A208" s="88" t="s">
        <v>48</v>
      </c>
      <c r="B208" s="88" t="s">
        <v>293</v>
      </c>
      <c r="C208" s="88" t="s">
        <v>294</v>
      </c>
      <c r="D208" s="88" t="s">
        <v>739</v>
      </c>
      <c r="E208" s="88" t="s">
        <v>740</v>
      </c>
      <c r="F208" s="89">
        <v>475</v>
      </c>
      <c r="G208" s="89">
        <v>4049</v>
      </c>
      <c r="H208" s="90">
        <v>0.11731291676957273</v>
      </c>
      <c r="I208" s="91">
        <v>0.65894736842105261</v>
      </c>
      <c r="J208" s="91">
        <v>0.25894736842105265</v>
      </c>
      <c r="K208" s="89">
        <v>217</v>
      </c>
      <c r="L208" s="89">
        <v>96</v>
      </c>
      <c r="M208" s="89">
        <v>22</v>
      </c>
      <c r="N208" s="89">
        <v>37</v>
      </c>
      <c r="O208" s="89">
        <v>86</v>
      </c>
      <c r="P208" s="89">
        <v>17</v>
      </c>
    </row>
    <row r="209" spans="1:16" x14ac:dyDescent="0.35">
      <c r="A209" s="88" t="s">
        <v>48</v>
      </c>
      <c r="B209" s="88" t="s">
        <v>295</v>
      </c>
      <c r="C209" s="88" t="s">
        <v>296</v>
      </c>
      <c r="D209" s="88" t="s">
        <v>741</v>
      </c>
      <c r="E209" s="88" t="s">
        <v>742</v>
      </c>
      <c r="F209" s="89">
        <v>199</v>
      </c>
      <c r="G209" s="89">
        <v>3796</v>
      </c>
      <c r="H209" s="90">
        <v>5.2423603793466805E-2</v>
      </c>
      <c r="I209" s="91">
        <v>0.95477386934673369</v>
      </c>
      <c r="J209" s="91">
        <v>3.5175879396984924E-2</v>
      </c>
      <c r="K209" s="89">
        <v>163</v>
      </c>
      <c r="L209" s="89">
        <v>27</v>
      </c>
      <c r="M209" s="89">
        <v>1</v>
      </c>
      <c r="N209" s="89">
        <v>3</v>
      </c>
      <c r="O209" s="89">
        <v>4</v>
      </c>
      <c r="P209" s="89">
        <v>1</v>
      </c>
    </row>
    <row r="210" spans="1:16" x14ac:dyDescent="0.35">
      <c r="A210" s="88" t="s">
        <v>50</v>
      </c>
      <c r="B210" s="88" t="s">
        <v>297</v>
      </c>
      <c r="C210" s="88" t="s">
        <v>298</v>
      </c>
      <c r="D210" s="88" t="s">
        <v>743</v>
      </c>
      <c r="E210" s="88" t="s">
        <v>744</v>
      </c>
      <c r="F210" s="89">
        <v>1215</v>
      </c>
      <c r="G210" s="89">
        <v>5686</v>
      </c>
      <c r="H210" s="90">
        <v>0.21368272951107983</v>
      </c>
      <c r="I210" s="91">
        <v>0.83209876543209882</v>
      </c>
      <c r="J210" s="91">
        <v>9.3004115226337447E-2</v>
      </c>
      <c r="K210" s="89">
        <v>814</v>
      </c>
      <c r="L210" s="89">
        <v>197</v>
      </c>
      <c r="M210" s="89">
        <v>66</v>
      </c>
      <c r="N210" s="89">
        <v>47</v>
      </c>
      <c r="O210" s="89">
        <v>66</v>
      </c>
      <c r="P210" s="89">
        <v>25</v>
      </c>
    </row>
    <row r="211" spans="1:16" x14ac:dyDescent="0.35">
      <c r="A211" s="88" t="s">
        <v>50</v>
      </c>
      <c r="B211" s="88" t="s">
        <v>299</v>
      </c>
      <c r="C211" s="88" t="s">
        <v>300</v>
      </c>
      <c r="D211" s="88" t="s">
        <v>745</v>
      </c>
      <c r="E211" s="88" t="s">
        <v>746</v>
      </c>
      <c r="F211" s="89">
        <v>946</v>
      </c>
      <c r="G211" s="89">
        <v>7330</v>
      </c>
      <c r="H211" s="90">
        <v>0.12905866302864938</v>
      </c>
      <c r="I211" s="91">
        <v>0.94186046511627908</v>
      </c>
      <c r="J211" s="91">
        <v>1.2684989429175475E-2</v>
      </c>
      <c r="K211" s="89">
        <v>632</v>
      </c>
      <c r="L211" s="89">
        <v>259</v>
      </c>
      <c r="M211" s="89">
        <v>32</v>
      </c>
      <c r="N211" s="89">
        <v>8</v>
      </c>
      <c r="O211" s="89">
        <v>4</v>
      </c>
      <c r="P211" s="89">
        <v>11</v>
      </c>
    </row>
    <row r="212" spans="1:16" x14ac:dyDescent="0.35">
      <c r="A212" s="88" t="s">
        <v>50</v>
      </c>
      <c r="B212" s="88" t="s">
        <v>299</v>
      </c>
      <c r="C212" s="88" t="s">
        <v>300</v>
      </c>
      <c r="D212" s="88" t="s">
        <v>747</v>
      </c>
      <c r="E212" s="88" t="s">
        <v>748</v>
      </c>
      <c r="F212" s="89">
        <v>321</v>
      </c>
      <c r="G212" s="89">
        <v>7592</v>
      </c>
      <c r="H212" s="90">
        <v>4.22813487881981E-2</v>
      </c>
      <c r="I212" s="91">
        <v>0.96573208722741433</v>
      </c>
      <c r="J212" s="91">
        <v>2.4922118380062305E-2</v>
      </c>
      <c r="K212" s="89">
        <v>284</v>
      </c>
      <c r="L212" s="89">
        <v>26</v>
      </c>
      <c r="M212" s="89">
        <v>1</v>
      </c>
      <c r="N212" s="89">
        <v>2</v>
      </c>
      <c r="O212" s="89">
        <v>6</v>
      </c>
      <c r="P212" s="89">
        <v>2</v>
      </c>
    </row>
    <row r="213" spans="1:16" x14ac:dyDescent="0.35">
      <c r="A213" s="88" t="s">
        <v>50</v>
      </c>
      <c r="B213" s="88" t="s">
        <v>301</v>
      </c>
      <c r="C213" s="88" t="s">
        <v>302</v>
      </c>
      <c r="D213" s="88" t="s">
        <v>749</v>
      </c>
      <c r="E213" s="88" t="s">
        <v>750</v>
      </c>
      <c r="F213" s="89">
        <v>244</v>
      </c>
      <c r="G213" s="89">
        <v>1223</v>
      </c>
      <c r="H213" s="90">
        <v>0.19950940310711365</v>
      </c>
      <c r="I213" s="91">
        <v>0.85655737704918034</v>
      </c>
      <c r="J213" s="91">
        <v>9.4262295081967207E-2</v>
      </c>
      <c r="K213" s="89">
        <v>174</v>
      </c>
      <c r="L213" s="89">
        <v>35</v>
      </c>
      <c r="M213" s="89">
        <v>8</v>
      </c>
      <c r="N213" s="89">
        <v>12</v>
      </c>
      <c r="O213" s="89">
        <v>11</v>
      </c>
      <c r="P213" s="89">
        <v>4</v>
      </c>
    </row>
    <row r="214" spans="1:16" x14ac:dyDescent="0.35">
      <c r="A214" s="88" t="s">
        <v>50</v>
      </c>
      <c r="B214" s="88" t="s">
        <v>301</v>
      </c>
      <c r="C214" s="88" t="s">
        <v>302</v>
      </c>
      <c r="D214" s="88" t="s">
        <v>751</v>
      </c>
      <c r="E214" s="88" t="s">
        <v>752</v>
      </c>
      <c r="F214" s="89">
        <v>789</v>
      </c>
      <c r="G214" s="89">
        <v>4465</v>
      </c>
      <c r="H214" s="90">
        <v>0.17670772676371779</v>
      </c>
      <c r="I214" s="91">
        <v>0.84790874524714832</v>
      </c>
      <c r="J214" s="91">
        <v>8.9987325728770592E-2</v>
      </c>
      <c r="K214" s="89">
        <v>528</v>
      </c>
      <c r="L214" s="89">
        <v>141</v>
      </c>
      <c r="M214" s="89">
        <v>39</v>
      </c>
      <c r="N214" s="89">
        <v>27</v>
      </c>
      <c r="O214" s="89">
        <v>44</v>
      </c>
      <c r="P214" s="89">
        <v>10</v>
      </c>
    </row>
    <row r="215" spans="1:16" x14ac:dyDescent="0.35">
      <c r="A215" s="88" t="s">
        <v>50</v>
      </c>
      <c r="B215" s="88" t="s">
        <v>301</v>
      </c>
      <c r="C215" s="88" t="s">
        <v>302</v>
      </c>
      <c r="D215" s="88" t="s">
        <v>753</v>
      </c>
      <c r="E215" s="88" t="s">
        <v>754</v>
      </c>
      <c r="F215" s="89">
        <v>763</v>
      </c>
      <c r="G215" s="89">
        <v>3745</v>
      </c>
      <c r="H215" s="90">
        <v>0.20373831775700935</v>
      </c>
      <c r="I215" s="91">
        <v>0.87418086500655312</v>
      </c>
      <c r="J215" s="91">
        <v>6.8152031454783754E-2</v>
      </c>
      <c r="K215" s="89">
        <v>556</v>
      </c>
      <c r="L215" s="89">
        <v>111</v>
      </c>
      <c r="M215" s="89">
        <v>33</v>
      </c>
      <c r="N215" s="89">
        <v>26</v>
      </c>
      <c r="O215" s="89">
        <v>26</v>
      </c>
      <c r="P215" s="89">
        <v>11</v>
      </c>
    </row>
    <row r="216" spans="1:16" x14ac:dyDescent="0.35">
      <c r="A216" s="88" t="s">
        <v>50</v>
      </c>
      <c r="B216" s="88" t="s">
        <v>303</v>
      </c>
      <c r="C216" s="88" t="s">
        <v>304</v>
      </c>
      <c r="D216" s="88" t="s">
        <v>755</v>
      </c>
      <c r="E216" s="88" t="s">
        <v>756</v>
      </c>
      <c r="F216" s="89">
        <v>14</v>
      </c>
      <c r="G216" s="89">
        <v>3536</v>
      </c>
      <c r="H216" s="90">
        <v>3.9592760180995473E-3</v>
      </c>
      <c r="I216" s="91">
        <v>0.9285714285714286</v>
      </c>
      <c r="J216" s="91">
        <v>7.1428571428571425E-2</v>
      </c>
      <c r="K216" s="89" t="s">
        <v>266</v>
      </c>
      <c r="L216" s="89" t="s">
        <v>266</v>
      </c>
      <c r="M216" s="89" t="s">
        <v>266</v>
      </c>
      <c r="N216" s="89" t="s">
        <v>266</v>
      </c>
      <c r="O216" s="89" t="s">
        <v>266</v>
      </c>
      <c r="P216" s="89" t="s">
        <v>266</v>
      </c>
    </row>
    <row r="217" spans="1:16" x14ac:dyDescent="0.35">
      <c r="A217" s="88" t="s">
        <v>50</v>
      </c>
      <c r="B217" s="88" t="s">
        <v>305</v>
      </c>
      <c r="C217" s="88" t="s">
        <v>306</v>
      </c>
      <c r="D217" s="88" t="s">
        <v>757</v>
      </c>
      <c r="E217" s="88" t="s">
        <v>758</v>
      </c>
      <c r="F217" s="89">
        <v>568</v>
      </c>
      <c r="G217" s="89">
        <v>2819</v>
      </c>
      <c r="H217" s="90">
        <v>0.20148989003192622</v>
      </c>
      <c r="I217" s="91">
        <v>0.89260563380281688</v>
      </c>
      <c r="J217" s="91">
        <v>7.5704225352112672E-2</v>
      </c>
      <c r="K217" s="89">
        <v>421</v>
      </c>
      <c r="L217" s="89">
        <v>86</v>
      </c>
      <c r="M217" s="89">
        <v>13</v>
      </c>
      <c r="N217" s="89">
        <v>18</v>
      </c>
      <c r="O217" s="89">
        <v>25</v>
      </c>
      <c r="P217" s="89">
        <v>5</v>
      </c>
    </row>
    <row r="218" spans="1:16" x14ac:dyDescent="0.35">
      <c r="A218" s="88" t="s">
        <v>50</v>
      </c>
      <c r="B218" s="88" t="s">
        <v>305</v>
      </c>
      <c r="C218" s="88" t="s">
        <v>306</v>
      </c>
      <c r="D218" s="88" t="s">
        <v>759</v>
      </c>
      <c r="E218" s="88" t="s">
        <v>760</v>
      </c>
      <c r="F218" s="89">
        <v>903</v>
      </c>
      <c r="G218" s="89">
        <v>4596</v>
      </c>
      <c r="H218" s="90">
        <v>0.19647519582245432</v>
      </c>
      <c r="I218" s="91">
        <v>0.84828349944629011</v>
      </c>
      <c r="J218" s="91">
        <v>9.5238095238095233E-2</v>
      </c>
      <c r="K218" s="89">
        <v>638</v>
      </c>
      <c r="L218" s="89">
        <v>128</v>
      </c>
      <c r="M218" s="89">
        <v>43</v>
      </c>
      <c r="N218" s="89">
        <v>44</v>
      </c>
      <c r="O218" s="89">
        <v>42</v>
      </c>
      <c r="P218" s="89">
        <v>8</v>
      </c>
    </row>
    <row r="219" spans="1:16" x14ac:dyDescent="0.35">
      <c r="A219" s="88" t="s">
        <v>50</v>
      </c>
      <c r="B219" s="88" t="s">
        <v>307</v>
      </c>
      <c r="C219" s="88" t="s">
        <v>308</v>
      </c>
      <c r="D219" s="88" t="s">
        <v>761</v>
      </c>
      <c r="E219" s="88" t="s">
        <v>762</v>
      </c>
      <c r="F219" s="89">
        <v>2163</v>
      </c>
      <c r="G219" s="89">
        <v>10957</v>
      </c>
      <c r="H219" s="90">
        <v>0.19740804964862646</v>
      </c>
      <c r="I219" s="91">
        <v>0.88164586222838648</v>
      </c>
      <c r="J219" s="91">
        <v>6.0564031437817849E-2</v>
      </c>
      <c r="K219" s="89">
        <v>1577</v>
      </c>
      <c r="L219" s="89">
        <v>330</v>
      </c>
      <c r="M219" s="89">
        <v>90</v>
      </c>
      <c r="N219" s="89">
        <v>53</v>
      </c>
      <c r="O219" s="89">
        <v>78</v>
      </c>
      <c r="P219" s="89">
        <v>35</v>
      </c>
    </row>
    <row r="220" spans="1:16" x14ac:dyDescent="0.35">
      <c r="A220" s="88" t="s">
        <v>50</v>
      </c>
      <c r="B220" s="88" t="s">
        <v>307</v>
      </c>
      <c r="C220" s="88" t="s">
        <v>308</v>
      </c>
      <c r="D220" s="88" t="s">
        <v>763</v>
      </c>
      <c r="E220" s="88" t="s">
        <v>764</v>
      </c>
      <c r="F220" s="89">
        <v>510</v>
      </c>
      <c r="G220" s="89">
        <v>2346</v>
      </c>
      <c r="H220" s="90">
        <v>0.21739130434782608</v>
      </c>
      <c r="I220" s="91">
        <v>0.90784313725490196</v>
      </c>
      <c r="J220" s="91">
        <v>5.4901960784313725E-2</v>
      </c>
      <c r="K220" s="89">
        <v>383</v>
      </c>
      <c r="L220" s="89">
        <v>80</v>
      </c>
      <c r="M220" s="89">
        <v>14</v>
      </c>
      <c r="N220" s="89">
        <v>10</v>
      </c>
      <c r="O220" s="89">
        <v>18</v>
      </c>
      <c r="P220" s="89">
        <v>5</v>
      </c>
    </row>
    <row r="221" spans="1:16" x14ac:dyDescent="0.35">
      <c r="A221" s="88" t="s">
        <v>50</v>
      </c>
      <c r="B221" s="88" t="s">
        <v>309</v>
      </c>
      <c r="C221" s="88" t="s">
        <v>310</v>
      </c>
      <c r="D221" s="88" t="s">
        <v>765</v>
      </c>
      <c r="E221" s="88" t="s">
        <v>766</v>
      </c>
      <c r="F221" s="89">
        <v>84</v>
      </c>
      <c r="G221" s="89">
        <v>850</v>
      </c>
      <c r="H221" s="90">
        <v>9.8823529411764699E-2</v>
      </c>
      <c r="I221" s="91">
        <v>0.97619047619047616</v>
      </c>
      <c r="J221" s="91">
        <v>2.3809523809523808E-2</v>
      </c>
      <c r="K221" s="89">
        <v>74</v>
      </c>
      <c r="L221" s="89">
        <v>8</v>
      </c>
      <c r="M221" s="89">
        <v>0</v>
      </c>
      <c r="N221" s="89">
        <v>1</v>
      </c>
      <c r="O221" s="89">
        <v>1</v>
      </c>
      <c r="P221" s="89">
        <v>0</v>
      </c>
    </row>
    <row r="222" spans="1:16" x14ac:dyDescent="0.35">
      <c r="A222" s="88" t="s">
        <v>50</v>
      </c>
      <c r="B222" s="88" t="s">
        <v>309</v>
      </c>
      <c r="C222" s="88" t="s">
        <v>310</v>
      </c>
      <c r="D222" s="88" t="s">
        <v>767</v>
      </c>
      <c r="E222" s="88" t="s">
        <v>768</v>
      </c>
      <c r="F222" s="89">
        <v>30</v>
      </c>
      <c r="G222" s="89">
        <v>8103</v>
      </c>
      <c r="H222" s="90">
        <v>3.7023324694557573E-3</v>
      </c>
      <c r="I222" s="91">
        <v>0.96666666666666667</v>
      </c>
      <c r="J222" s="91">
        <v>3.3333333333333333E-2</v>
      </c>
      <c r="K222" s="89">
        <v>28</v>
      </c>
      <c r="L222" s="89">
        <v>1</v>
      </c>
      <c r="M222" s="89">
        <v>0</v>
      </c>
      <c r="N222" s="89">
        <v>0</v>
      </c>
      <c r="O222" s="89">
        <v>1</v>
      </c>
      <c r="P222" s="89">
        <v>0</v>
      </c>
    </row>
    <row r="223" spans="1:16" x14ac:dyDescent="0.35">
      <c r="A223" s="88" t="s">
        <v>50</v>
      </c>
      <c r="B223" s="88" t="s">
        <v>311</v>
      </c>
      <c r="C223" s="88" t="s">
        <v>312</v>
      </c>
      <c r="D223" s="88" t="s">
        <v>769</v>
      </c>
      <c r="E223" s="88" t="s">
        <v>770</v>
      </c>
      <c r="F223" s="89">
        <v>1</v>
      </c>
      <c r="G223" s="89">
        <v>12156</v>
      </c>
      <c r="H223" s="90">
        <v>8.2263902599539321E-5</v>
      </c>
      <c r="I223" s="91" t="s">
        <v>266</v>
      </c>
      <c r="J223" s="91" t="s">
        <v>266</v>
      </c>
      <c r="K223" s="89" t="s">
        <v>266</v>
      </c>
      <c r="L223" s="89" t="s">
        <v>266</v>
      </c>
      <c r="M223" s="89" t="s">
        <v>266</v>
      </c>
      <c r="N223" s="89" t="s">
        <v>266</v>
      </c>
      <c r="O223" s="89" t="s">
        <v>266</v>
      </c>
      <c r="P223" s="89" t="s">
        <v>266</v>
      </c>
    </row>
    <row r="224" spans="1:16" x14ac:dyDescent="0.35">
      <c r="A224" s="88" t="s">
        <v>52</v>
      </c>
      <c r="B224" s="88" t="s">
        <v>313</v>
      </c>
      <c r="C224" s="88" t="s">
        <v>314</v>
      </c>
      <c r="D224" s="88" t="s">
        <v>771</v>
      </c>
      <c r="E224" s="88" t="s">
        <v>772</v>
      </c>
      <c r="F224" s="89">
        <v>450</v>
      </c>
      <c r="G224" s="89">
        <v>7569</v>
      </c>
      <c r="H224" s="90">
        <v>5.9453032104637336E-2</v>
      </c>
      <c r="I224" s="91">
        <v>0.60222222222222221</v>
      </c>
      <c r="J224" s="91">
        <v>0.2911111111111111</v>
      </c>
      <c r="K224" s="89">
        <v>222</v>
      </c>
      <c r="L224" s="89">
        <v>49</v>
      </c>
      <c r="M224" s="89">
        <v>19</v>
      </c>
      <c r="N224" s="89">
        <v>31</v>
      </c>
      <c r="O224" s="89">
        <v>100</v>
      </c>
      <c r="P224" s="89">
        <v>29</v>
      </c>
    </row>
    <row r="225" spans="1:16" x14ac:dyDescent="0.35">
      <c r="A225" s="88" t="s">
        <v>52</v>
      </c>
      <c r="B225" s="88" t="s">
        <v>315</v>
      </c>
      <c r="C225" s="88" t="s">
        <v>316</v>
      </c>
      <c r="D225" s="88" t="s">
        <v>773</v>
      </c>
      <c r="E225" s="88" t="s">
        <v>774</v>
      </c>
      <c r="F225" s="89">
        <v>768</v>
      </c>
      <c r="G225" s="89">
        <v>3829</v>
      </c>
      <c r="H225" s="90">
        <v>0.20057456254896841</v>
      </c>
      <c r="I225" s="91">
        <v>0.91145833333333337</v>
      </c>
      <c r="J225" s="91">
        <v>5.5989583333333336E-2</v>
      </c>
      <c r="K225" s="89">
        <v>588</v>
      </c>
      <c r="L225" s="89">
        <v>112</v>
      </c>
      <c r="M225" s="89">
        <v>17</v>
      </c>
      <c r="N225" s="89">
        <v>19</v>
      </c>
      <c r="O225" s="89">
        <v>24</v>
      </c>
      <c r="P225" s="89">
        <v>8</v>
      </c>
    </row>
    <row r="226" spans="1:16" x14ac:dyDescent="0.35">
      <c r="A226" s="88" t="s">
        <v>52</v>
      </c>
      <c r="B226" s="88" t="s">
        <v>315</v>
      </c>
      <c r="C226" s="88" t="s">
        <v>316</v>
      </c>
      <c r="D226" s="88" t="s">
        <v>775</v>
      </c>
      <c r="E226" s="88" t="s">
        <v>776</v>
      </c>
      <c r="F226" s="89">
        <v>1104</v>
      </c>
      <c r="G226" s="89">
        <v>6383</v>
      </c>
      <c r="H226" s="90">
        <v>0.17295942346858845</v>
      </c>
      <c r="I226" s="91">
        <v>0.84510869565217395</v>
      </c>
      <c r="J226" s="91">
        <v>9.6014492753623185E-2</v>
      </c>
      <c r="K226" s="89">
        <v>720</v>
      </c>
      <c r="L226" s="89">
        <v>213</v>
      </c>
      <c r="M226" s="89">
        <v>52</v>
      </c>
      <c r="N226" s="89">
        <v>42</v>
      </c>
      <c r="O226" s="89">
        <v>64</v>
      </c>
      <c r="P226" s="89">
        <v>13</v>
      </c>
    </row>
    <row r="227" spans="1:16" x14ac:dyDescent="0.35">
      <c r="A227" s="88" t="s">
        <v>52</v>
      </c>
      <c r="B227" s="88" t="s">
        <v>315</v>
      </c>
      <c r="C227" s="88" t="s">
        <v>316</v>
      </c>
      <c r="D227" s="88" t="s">
        <v>777</v>
      </c>
      <c r="E227" s="88" t="s">
        <v>778</v>
      </c>
      <c r="F227" s="89">
        <v>423</v>
      </c>
      <c r="G227" s="89">
        <v>1368</v>
      </c>
      <c r="H227" s="90">
        <v>0.30921052631578949</v>
      </c>
      <c r="I227" s="91">
        <v>0.88888888888888884</v>
      </c>
      <c r="J227" s="91">
        <v>6.3829787234042548E-2</v>
      </c>
      <c r="K227" s="89">
        <v>323</v>
      </c>
      <c r="L227" s="89">
        <v>53</v>
      </c>
      <c r="M227" s="89">
        <v>17</v>
      </c>
      <c r="N227" s="89">
        <v>13</v>
      </c>
      <c r="O227" s="89">
        <v>14</v>
      </c>
      <c r="P227" s="89">
        <v>3</v>
      </c>
    </row>
    <row r="228" spans="1:16" x14ac:dyDescent="0.35">
      <c r="A228" s="88" t="s">
        <v>52</v>
      </c>
      <c r="B228" s="88" t="s">
        <v>315</v>
      </c>
      <c r="C228" s="88" t="s">
        <v>316</v>
      </c>
      <c r="D228" s="88" t="s">
        <v>779</v>
      </c>
      <c r="E228" s="88" t="s">
        <v>780</v>
      </c>
      <c r="F228" s="89">
        <v>275</v>
      </c>
      <c r="G228" s="89">
        <v>2478</v>
      </c>
      <c r="H228" s="90">
        <v>0.11097659402744149</v>
      </c>
      <c r="I228" s="91">
        <v>0.94545454545454544</v>
      </c>
      <c r="J228" s="91">
        <v>2.5454545454545455E-2</v>
      </c>
      <c r="K228" s="89">
        <v>241</v>
      </c>
      <c r="L228" s="89">
        <v>19</v>
      </c>
      <c r="M228" s="89">
        <v>6</v>
      </c>
      <c r="N228" s="89">
        <v>4</v>
      </c>
      <c r="O228" s="89">
        <v>3</v>
      </c>
      <c r="P228" s="89">
        <v>2</v>
      </c>
    </row>
    <row r="229" spans="1:16" x14ac:dyDescent="0.35">
      <c r="A229" s="88" t="s">
        <v>52</v>
      </c>
      <c r="B229" s="88" t="s">
        <v>317</v>
      </c>
      <c r="C229" s="88" t="s">
        <v>318</v>
      </c>
      <c r="D229" s="88" t="s">
        <v>781</v>
      </c>
      <c r="E229" s="88" t="s">
        <v>782</v>
      </c>
      <c r="F229" s="89">
        <v>48</v>
      </c>
      <c r="G229" s="89">
        <v>5115</v>
      </c>
      <c r="H229" s="90">
        <v>9.3841642228739003E-3</v>
      </c>
      <c r="I229" s="91">
        <v>0.9375</v>
      </c>
      <c r="J229" s="91">
        <v>2.0833333333333332E-2</v>
      </c>
      <c r="K229" s="89">
        <v>45</v>
      </c>
      <c r="L229" s="89">
        <v>0</v>
      </c>
      <c r="M229" s="89">
        <v>2</v>
      </c>
      <c r="N229" s="89">
        <v>0</v>
      </c>
      <c r="O229" s="89">
        <v>1</v>
      </c>
      <c r="P229" s="89">
        <v>0</v>
      </c>
    </row>
    <row r="230" spans="1:16" x14ac:dyDescent="0.35">
      <c r="A230" s="88" t="s">
        <v>52</v>
      </c>
      <c r="B230" s="88" t="s">
        <v>319</v>
      </c>
      <c r="C230" s="88" t="s">
        <v>320</v>
      </c>
      <c r="D230" s="88" t="s">
        <v>783</v>
      </c>
      <c r="E230" s="88" t="s">
        <v>784</v>
      </c>
      <c r="F230" s="89">
        <v>264</v>
      </c>
      <c r="G230" s="89">
        <v>1536</v>
      </c>
      <c r="H230" s="90">
        <v>0.171875</v>
      </c>
      <c r="I230" s="91">
        <v>0.89393939393939392</v>
      </c>
      <c r="J230" s="91">
        <v>6.8181818181818177E-2</v>
      </c>
      <c r="K230" s="89">
        <v>213</v>
      </c>
      <c r="L230" s="89">
        <v>23</v>
      </c>
      <c r="M230" s="89">
        <v>8</v>
      </c>
      <c r="N230" s="89">
        <v>5</v>
      </c>
      <c r="O230" s="89">
        <v>13</v>
      </c>
      <c r="P230" s="89">
        <v>2</v>
      </c>
    </row>
    <row r="231" spans="1:16" x14ac:dyDescent="0.35">
      <c r="A231" s="88" t="s">
        <v>52</v>
      </c>
      <c r="B231" s="88" t="s">
        <v>319</v>
      </c>
      <c r="C231" s="88" t="s">
        <v>320</v>
      </c>
      <c r="D231" s="88" t="s">
        <v>785</v>
      </c>
      <c r="E231" s="88" t="s">
        <v>786</v>
      </c>
      <c r="F231" s="89">
        <v>404</v>
      </c>
      <c r="G231" s="89">
        <v>2607</v>
      </c>
      <c r="H231" s="90">
        <v>0.1549673954737246</v>
      </c>
      <c r="I231" s="91">
        <v>0.89603960396039606</v>
      </c>
      <c r="J231" s="91">
        <v>7.4257425742574254E-2</v>
      </c>
      <c r="K231" s="89">
        <v>312</v>
      </c>
      <c r="L231" s="89">
        <v>50</v>
      </c>
      <c r="M231" s="89">
        <v>9</v>
      </c>
      <c r="N231" s="89">
        <v>14</v>
      </c>
      <c r="O231" s="89">
        <v>16</v>
      </c>
      <c r="P231" s="89">
        <v>3</v>
      </c>
    </row>
    <row r="232" spans="1:16" x14ac:dyDescent="0.35">
      <c r="A232" s="88" t="s">
        <v>52</v>
      </c>
      <c r="B232" s="88" t="s">
        <v>319</v>
      </c>
      <c r="C232" s="88" t="s">
        <v>320</v>
      </c>
      <c r="D232" s="88" t="s">
        <v>787</v>
      </c>
      <c r="E232" s="88" t="s">
        <v>788</v>
      </c>
      <c r="F232" s="89">
        <v>928</v>
      </c>
      <c r="G232" s="89">
        <v>5969</v>
      </c>
      <c r="H232" s="90">
        <v>0.15546992796113251</v>
      </c>
      <c r="I232" s="91">
        <v>0.76077586206896552</v>
      </c>
      <c r="J232" s="91">
        <v>0.1476293103448276</v>
      </c>
      <c r="K232" s="89">
        <v>522</v>
      </c>
      <c r="L232" s="89">
        <v>184</v>
      </c>
      <c r="M232" s="89">
        <v>64</v>
      </c>
      <c r="N232" s="89">
        <v>48</v>
      </c>
      <c r="O232" s="89">
        <v>89</v>
      </c>
      <c r="P232" s="89">
        <v>21</v>
      </c>
    </row>
    <row r="233" spans="1:16" x14ac:dyDescent="0.35">
      <c r="A233" s="88" t="s">
        <v>52</v>
      </c>
      <c r="B233" s="88" t="s">
        <v>319</v>
      </c>
      <c r="C233" s="88" t="s">
        <v>320</v>
      </c>
      <c r="D233" s="88" t="s">
        <v>789</v>
      </c>
      <c r="E233" s="88" t="s">
        <v>790</v>
      </c>
      <c r="F233" s="89">
        <v>1067</v>
      </c>
      <c r="G233" s="89">
        <v>6438</v>
      </c>
      <c r="H233" s="90">
        <v>0.16573470021745884</v>
      </c>
      <c r="I233" s="91">
        <v>0.76663542642924087</v>
      </c>
      <c r="J233" s="91">
        <v>0.16026241799437677</v>
      </c>
      <c r="K233" s="89">
        <v>601</v>
      </c>
      <c r="L233" s="89">
        <v>217</v>
      </c>
      <c r="M233" s="89">
        <v>65</v>
      </c>
      <c r="N233" s="89">
        <v>66</v>
      </c>
      <c r="O233" s="89">
        <v>105</v>
      </c>
      <c r="P233" s="89">
        <v>13</v>
      </c>
    </row>
    <row r="234" spans="1:16" x14ac:dyDescent="0.35">
      <c r="A234" s="88" t="s">
        <v>52</v>
      </c>
      <c r="B234" s="88" t="s">
        <v>321</v>
      </c>
      <c r="C234" s="88" t="s">
        <v>322</v>
      </c>
      <c r="D234" s="88" t="s">
        <v>791</v>
      </c>
      <c r="E234" s="88" t="s">
        <v>792</v>
      </c>
      <c r="F234" s="89">
        <v>96</v>
      </c>
      <c r="G234" s="89">
        <v>4977</v>
      </c>
      <c r="H234" s="90">
        <v>1.9288728149487643E-2</v>
      </c>
      <c r="I234" s="91">
        <v>0.89583333333333337</v>
      </c>
      <c r="J234" s="91">
        <v>7.2916666666666671E-2</v>
      </c>
      <c r="K234" s="89">
        <v>70</v>
      </c>
      <c r="L234" s="89">
        <v>16</v>
      </c>
      <c r="M234" s="89">
        <v>0</v>
      </c>
      <c r="N234" s="89">
        <v>2</v>
      </c>
      <c r="O234" s="89">
        <v>5</v>
      </c>
      <c r="P234" s="89">
        <v>3</v>
      </c>
    </row>
    <row r="235" spans="1:16" x14ac:dyDescent="0.35">
      <c r="A235" s="88" t="s">
        <v>52</v>
      </c>
      <c r="B235" s="88" t="s">
        <v>321</v>
      </c>
      <c r="C235" s="88" t="s">
        <v>322</v>
      </c>
      <c r="D235" s="88" t="s">
        <v>793</v>
      </c>
      <c r="E235" s="88" t="s">
        <v>794</v>
      </c>
      <c r="F235" s="89">
        <v>490</v>
      </c>
      <c r="G235" s="89">
        <v>5192</v>
      </c>
      <c r="H235" s="90">
        <v>9.4375963020030817E-2</v>
      </c>
      <c r="I235" s="91">
        <v>0.91020408163265309</v>
      </c>
      <c r="J235" s="91">
        <v>3.2653061224489799E-2</v>
      </c>
      <c r="K235" s="89">
        <v>294</v>
      </c>
      <c r="L235" s="89">
        <v>152</v>
      </c>
      <c r="M235" s="89">
        <v>16</v>
      </c>
      <c r="N235" s="89">
        <v>6</v>
      </c>
      <c r="O235" s="89">
        <v>10</v>
      </c>
      <c r="P235" s="89">
        <v>12</v>
      </c>
    </row>
    <row r="236" spans="1:16" x14ac:dyDescent="0.35">
      <c r="A236" s="88" t="s">
        <v>52</v>
      </c>
      <c r="B236" s="88" t="s">
        <v>323</v>
      </c>
      <c r="C236" s="88" t="s">
        <v>324</v>
      </c>
      <c r="D236" s="88" t="s">
        <v>795</v>
      </c>
      <c r="E236" s="88" t="s">
        <v>796</v>
      </c>
      <c r="F236" s="89">
        <v>358</v>
      </c>
      <c r="G236" s="89">
        <v>5695</v>
      </c>
      <c r="H236" s="90">
        <v>6.2862159789288843E-2</v>
      </c>
      <c r="I236" s="91">
        <v>0.92458100558659218</v>
      </c>
      <c r="J236" s="91">
        <v>5.5865921787709499E-3</v>
      </c>
      <c r="K236" s="89">
        <v>272</v>
      </c>
      <c r="L236" s="89">
        <v>59</v>
      </c>
      <c r="M236" s="89">
        <v>5</v>
      </c>
      <c r="N236" s="89">
        <v>2</v>
      </c>
      <c r="O236" s="89">
        <v>0</v>
      </c>
      <c r="P236" s="89">
        <v>20</v>
      </c>
    </row>
    <row r="237" spans="1:16" x14ac:dyDescent="0.35">
      <c r="A237" s="88" t="s">
        <v>52</v>
      </c>
      <c r="B237" s="88" t="s">
        <v>323</v>
      </c>
      <c r="C237" s="88" t="s">
        <v>324</v>
      </c>
      <c r="D237" s="88" t="s">
        <v>797</v>
      </c>
      <c r="E237" s="88" t="s">
        <v>798</v>
      </c>
      <c r="F237" s="89">
        <v>760</v>
      </c>
      <c r="G237" s="89">
        <v>5946</v>
      </c>
      <c r="H237" s="90">
        <v>0.12781701984527413</v>
      </c>
      <c r="I237" s="91">
        <v>0.91052631578947374</v>
      </c>
      <c r="J237" s="91">
        <v>3.0263157894736843E-2</v>
      </c>
      <c r="K237" s="89">
        <v>516</v>
      </c>
      <c r="L237" s="89">
        <v>176</v>
      </c>
      <c r="M237" s="89">
        <v>30</v>
      </c>
      <c r="N237" s="89">
        <v>14</v>
      </c>
      <c r="O237" s="89">
        <v>9</v>
      </c>
      <c r="P237" s="89">
        <v>15</v>
      </c>
    </row>
    <row r="238" spans="1:16" x14ac:dyDescent="0.35">
      <c r="A238" s="88" t="s">
        <v>52</v>
      </c>
      <c r="B238" s="88" t="s">
        <v>323</v>
      </c>
      <c r="C238" s="88" t="s">
        <v>324</v>
      </c>
      <c r="D238" s="88" t="s">
        <v>799</v>
      </c>
      <c r="E238" s="88" t="s">
        <v>800</v>
      </c>
      <c r="F238" s="89">
        <v>0</v>
      </c>
      <c r="G238" s="89">
        <v>0</v>
      </c>
      <c r="H238" s="90" t="s">
        <v>11</v>
      </c>
      <c r="I238" s="91" t="s">
        <v>11</v>
      </c>
      <c r="J238" s="91" t="s">
        <v>11</v>
      </c>
      <c r="K238" s="89">
        <v>0</v>
      </c>
      <c r="L238" s="89">
        <v>0</v>
      </c>
      <c r="M238" s="89">
        <v>0</v>
      </c>
      <c r="N238" s="89">
        <v>0</v>
      </c>
      <c r="O238" s="89">
        <v>0</v>
      </c>
      <c r="P238" s="89">
        <v>0</v>
      </c>
    </row>
    <row r="239" spans="1:16" x14ac:dyDescent="0.35">
      <c r="A239" s="88" t="s">
        <v>52</v>
      </c>
      <c r="B239" s="88" t="s">
        <v>325</v>
      </c>
      <c r="C239" s="88" t="s">
        <v>326</v>
      </c>
      <c r="D239" s="88" t="s">
        <v>801</v>
      </c>
      <c r="E239" s="88" t="s">
        <v>802</v>
      </c>
      <c r="F239" s="89">
        <v>1048</v>
      </c>
      <c r="G239" s="89">
        <v>8088</v>
      </c>
      <c r="H239" s="90">
        <v>0.12957467853610286</v>
      </c>
      <c r="I239" s="91">
        <v>0.72900763358778631</v>
      </c>
      <c r="J239" s="91">
        <v>0.1784351145038168</v>
      </c>
      <c r="K239" s="89">
        <v>565</v>
      </c>
      <c r="L239" s="89">
        <v>199</v>
      </c>
      <c r="M239" s="89">
        <v>79</v>
      </c>
      <c r="N239" s="89">
        <v>55</v>
      </c>
      <c r="O239" s="89">
        <v>132</v>
      </c>
      <c r="P239" s="89">
        <v>18</v>
      </c>
    </row>
    <row r="240" spans="1:16" x14ac:dyDescent="0.35">
      <c r="A240" s="88" t="s">
        <v>52</v>
      </c>
      <c r="B240" s="88" t="s">
        <v>327</v>
      </c>
      <c r="C240" s="88" t="s">
        <v>328</v>
      </c>
      <c r="D240" s="88" t="s">
        <v>803</v>
      </c>
      <c r="E240" s="88" t="s">
        <v>804</v>
      </c>
      <c r="F240" s="89">
        <v>171</v>
      </c>
      <c r="G240" s="89">
        <v>1325</v>
      </c>
      <c r="H240" s="90">
        <v>0.12905660377358491</v>
      </c>
      <c r="I240" s="91">
        <v>0.94736842105263153</v>
      </c>
      <c r="J240" s="91">
        <v>2.9239766081871343E-2</v>
      </c>
      <c r="K240" s="89">
        <v>151</v>
      </c>
      <c r="L240" s="89">
        <v>11</v>
      </c>
      <c r="M240" s="89">
        <v>1</v>
      </c>
      <c r="N240" s="89">
        <v>2</v>
      </c>
      <c r="O240" s="89">
        <v>3</v>
      </c>
      <c r="P240" s="89">
        <v>3</v>
      </c>
    </row>
    <row r="241" spans="1:16" x14ac:dyDescent="0.35">
      <c r="A241" s="88" t="s">
        <v>52</v>
      </c>
      <c r="B241" s="88" t="s">
        <v>329</v>
      </c>
      <c r="C241" s="88" t="s">
        <v>330</v>
      </c>
      <c r="D241" s="88" t="s">
        <v>805</v>
      </c>
      <c r="E241" s="88" t="s">
        <v>806</v>
      </c>
      <c r="F241" s="89">
        <v>756</v>
      </c>
      <c r="G241" s="89">
        <v>4019</v>
      </c>
      <c r="H241" s="90">
        <v>0.18810649415277433</v>
      </c>
      <c r="I241" s="91">
        <v>0.85317460317460314</v>
      </c>
      <c r="J241" s="91">
        <v>9.7883597883597878E-2</v>
      </c>
      <c r="K241" s="89">
        <v>514</v>
      </c>
      <c r="L241" s="89">
        <v>131</v>
      </c>
      <c r="M241" s="89">
        <v>30</v>
      </c>
      <c r="N241" s="89">
        <v>29</v>
      </c>
      <c r="O241" s="89">
        <v>45</v>
      </c>
      <c r="P241" s="89">
        <v>7</v>
      </c>
    </row>
    <row r="242" spans="1:16" x14ac:dyDescent="0.35">
      <c r="A242" s="88" t="s">
        <v>52</v>
      </c>
      <c r="B242" s="88" t="s">
        <v>329</v>
      </c>
      <c r="C242" s="88" t="s">
        <v>330</v>
      </c>
      <c r="D242" s="88" t="s">
        <v>807</v>
      </c>
      <c r="E242" s="88" t="s">
        <v>808</v>
      </c>
      <c r="F242" s="89">
        <v>128</v>
      </c>
      <c r="G242" s="89">
        <v>403</v>
      </c>
      <c r="H242" s="90">
        <v>0.31761786600496278</v>
      </c>
      <c r="I242" s="91">
        <v>0.9296875</v>
      </c>
      <c r="J242" s="91">
        <v>3.125E-2</v>
      </c>
      <c r="K242" s="89">
        <v>107</v>
      </c>
      <c r="L242" s="89">
        <v>12</v>
      </c>
      <c r="M242" s="89">
        <v>5</v>
      </c>
      <c r="N242" s="89">
        <v>1</v>
      </c>
      <c r="O242" s="89">
        <v>3</v>
      </c>
      <c r="P242" s="89">
        <v>0</v>
      </c>
    </row>
    <row r="243" spans="1:16" x14ac:dyDescent="0.35">
      <c r="A243" s="88" t="s">
        <v>52</v>
      </c>
      <c r="B243" s="88" t="s">
        <v>331</v>
      </c>
      <c r="C243" s="88" t="s">
        <v>332</v>
      </c>
      <c r="D243" s="88" t="s">
        <v>809</v>
      </c>
      <c r="E243" s="88" t="s">
        <v>810</v>
      </c>
      <c r="F243" s="89">
        <v>1001</v>
      </c>
      <c r="G243" s="89">
        <v>7407</v>
      </c>
      <c r="H243" s="90">
        <v>0.13514243283380586</v>
      </c>
      <c r="I243" s="91">
        <v>0.91008991008991014</v>
      </c>
      <c r="J243" s="91">
        <v>4.4955044955044952E-2</v>
      </c>
      <c r="K243" s="89">
        <v>782</v>
      </c>
      <c r="L243" s="89">
        <v>129</v>
      </c>
      <c r="M243" s="89">
        <v>40</v>
      </c>
      <c r="N243" s="89">
        <v>24</v>
      </c>
      <c r="O243" s="89">
        <v>21</v>
      </c>
      <c r="P243" s="89">
        <v>5</v>
      </c>
    </row>
    <row r="244" spans="1:16" x14ac:dyDescent="0.35">
      <c r="A244" s="88" t="s">
        <v>52</v>
      </c>
      <c r="B244" s="88" t="s">
        <v>333</v>
      </c>
      <c r="C244" s="88" t="s">
        <v>334</v>
      </c>
      <c r="D244" s="88" t="s">
        <v>811</v>
      </c>
      <c r="E244" s="88" t="s">
        <v>812</v>
      </c>
      <c r="F244" s="89">
        <v>1028</v>
      </c>
      <c r="G244" s="89">
        <v>4276</v>
      </c>
      <c r="H244" s="90">
        <v>0.24041159962581851</v>
      </c>
      <c r="I244" s="91">
        <v>0.91634241245136183</v>
      </c>
      <c r="J244" s="91">
        <v>4.3774319066147857E-2</v>
      </c>
      <c r="K244" s="89">
        <v>742</v>
      </c>
      <c r="L244" s="89">
        <v>200</v>
      </c>
      <c r="M244" s="89">
        <v>29</v>
      </c>
      <c r="N244" s="89">
        <v>14</v>
      </c>
      <c r="O244" s="89">
        <v>31</v>
      </c>
      <c r="P244" s="89">
        <v>12</v>
      </c>
    </row>
    <row r="245" spans="1:16" x14ac:dyDescent="0.35">
      <c r="A245" s="92" t="s">
        <v>52</v>
      </c>
      <c r="B245" s="92" t="s">
        <v>333</v>
      </c>
      <c r="C245" s="92" t="s">
        <v>334</v>
      </c>
      <c r="D245" s="92" t="s">
        <v>813</v>
      </c>
      <c r="E245" s="92" t="s">
        <v>814</v>
      </c>
      <c r="F245" s="93">
        <v>2013</v>
      </c>
      <c r="G245" s="93">
        <v>5666</v>
      </c>
      <c r="H245" s="94">
        <v>0.35527709142252029</v>
      </c>
      <c r="I245" s="95">
        <v>0.92995529061102833</v>
      </c>
      <c r="J245" s="95">
        <v>3.0303030303030304E-2</v>
      </c>
      <c r="K245" s="93">
        <v>1535</v>
      </c>
      <c r="L245" s="93">
        <v>337</v>
      </c>
      <c r="M245" s="93">
        <v>49</v>
      </c>
      <c r="N245" s="93">
        <v>19</v>
      </c>
      <c r="O245" s="93">
        <v>42</v>
      </c>
      <c r="P245" s="93">
        <v>31</v>
      </c>
    </row>
    <row r="246" spans="1:16" x14ac:dyDescent="0.35">
      <c r="A246" s="13"/>
      <c r="B246" s="13"/>
      <c r="C246" s="13"/>
      <c r="D246" s="13"/>
      <c r="E246" s="13"/>
      <c r="F246" s="13"/>
      <c r="G246" s="13"/>
      <c r="H246" s="13"/>
      <c r="I246" s="13"/>
      <c r="J246" s="13"/>
      <c r="K246" s="13"/>
      <c r="L246" s="13"/>
      <c r="M246" s="13"/>
      <c r="N246" s="13"/>
      <c r="O246" s="13"/>
      <c r="P246" s="13"/>
    </row>
    <row r="247" spans="1:16" x14ac:dyDescent="0.35">
      <c r="A247" s="13"/>
      <c r="B247" s="13"/>
      <c r="C247" s="13"/>
      <c r="D247" s="13"/>
      <c r="E247" s="13"/>
      <c r="F247" s="13"/>
      <c r="G247" s="13"/>
      <c r="H247" s="13"/>
      <c r="I247" s="13"/>
      <c r="J247" s="13"/>
      <c r="K247" s="13"/>
      <c r="L247" s="13"/>
      <c r="M247" s="13"/>
      <c r="N247" s="13"/>
      <c r="O247" s="13"/>
      <c r="P247" s="13"/>
    </row>
    <row r="248" spans="1:16" x14ac:dyDescent="0.35">
      <c r="A248" s="13"/>
      <c r="B248" s="13"/>
      <c r="C248" s="13"/>
      <c r="D248" s="13"/>
      <c r="E248" s="13"/>
      <c r="F248" s="13"/>
      <c r="G248" s="13"/>
      <c r="H248" s="13"/>
      <c r="I248" s="13"/>
      <c r="J248" s="13"/>
      <c r="K248" s="13"/>
      <c r="L248" s="13"/>
      <c r="M248" s="13"/>
      <c r="N248" s="13"/>
      <c r="O248" s="13"/>
      <c r="P248" s="13"/>
    </row>
    <row r="249" spans="1:16" x14ac:dyDescent="0.35">
      <c r="A249" s="13"/>
      <c r="B249" s="13"/>
      <c r="C249" s="13"/>
      <c r="D249" s="13"/>
      <c r="E249" s="13"/>
      <c r="F249" s="13"/>
      <c r="G249" s="13"/>
      <c r="H249" s="13"/>
      <c r="I249" s="13"/>
      <c r="J249" s="13"/>
      <c r="K249" s="13"/>
      <c r="L249" s="13"/>
      <c r="M249" s="13"/>
      <c r="N249" s="13"/>
      <c r="O249" s="13"/>
      <c r="P249" s="13"/>
    </row>
    <row r="250" spans="1:16" x14ac:dyDescent="0.35">
      <c r="A250" s="13"/>
      <c r="B250" s="13"/>
      <c r="C250" s="13"/>
      <c r="D250" s="13"/>
      <c r="E250" s="13"/>
      <c r="F250" s="13"/>
      <c r="G250" s="13"/>
      <c r="H250" s="13"/>
      <c r="I250" s="13"/>
      <c r="J250" s="13"/>
      <c r="K250" s="13"/>
      <c r="L250" s="13"/>
      <c r="M250" s="13"/>
      <c r="N250" s="13"/>
      <c r="O250" s="13"/>
      <c r="P250" s="13"/>
    </row>
    <row r="251" spans="1:16" x14ac:dyDescent="0.35">
      <c r="A251" s="13"/>
      <c r="B251" s="13"/>
      <c r="C251" s="13"/>
      <c r="D251" s="13"/>
      <c r="E251" s="13"/>
      <c r="F251" s="13"/>
      <c r="G251" s="13"/>
      <c r="H251" s="13"/>
      <c r="I251" s="13"/>
      <c r="J251" s="13"/>
      <c r="K251" s="13"/>
      <c r="L251" s="13"/>
      <c r="M251" s="13"/>
      <c r="N251" s="13"/>
      <c r="O251" s="13"/>
      <c r="P251" s="13"/>
    </row>
    <row r="252" spans="1:16" x14ac:dyDescent="0.35">
      <c r="A252" s="13"/>
      <c r="B252" s="13"/>
      <c r="C252" s="13"/>
      <c r="D252" s="13"/>
      <c r="E252" s="13"/>
      <c r="F252" s="13"/>
      <c r="G252" s="13"/>
      <c r="H252" s="13"/>
      <c r="I252" s="13"/>
      <c r="J252" s="13"/>
      <c r="K252" s="13"/>
      <c r="L252" s="13"/>
      <c r="M252" s="13"/>
      <c r="N252" s="13"/>
      <c r="O252" s="13"/>
      <c r="P252" s="13"/>
    </row>
    <row r="253" spans="1:16" x14ac:dyDescent="0.35">
      <c r="A253" s="13"/>
      <c r="B253" s="13"/>
      <c r="C253" s="13"/>
      <c r="D253" s="13"/>
      <c r="E253" s="13"/>
      <c r="F253" s="13"/>
      <c r="G253" s="13"/>
      <c r="H253" s="13"/>
      <c r="I253" s="13"/>
      <c r="J253" s="13"/>
      <c r="K253" s="13"/>
      <c r="L253" s="13"/>
      <c r="M253" s="13"/>
      <c r="N253" s="13"/>
      <c r="O253" s="13"/>
      <c r="P253" s="13"/>
    </row>
  </sheetData>
  <mergeCells count="11">
    <mergeCell ref="F3:F4"/>
    <mergeCell ref="A3:A4"/>
    <mergeCell ref="B3:B4"/>
    <mergeCell ref="C3:C4"/>
    <mergeCell ref="D3:D4"/>
    <mergeCell ref="E3:E4"/>
    <mergeCell ref="G3:G4"/>
    <mergeCell ref="H3:H4"/>
    <mergeCell ref="I3:I4"/>
    <mergeCell ref="J3:J4"/>
    <mergeCell ref="K3:P3"/>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Sites">
              <controlPr defaultSize="0" autoFill="0" autoPict="0" macro="[0]!Sitessheet">
                <anchor>
                  <from>
                    <xdr:col>5</xdr:col>
                    <xdr:colOff>654050</xdr:colOff>
                    <xdr:row>1</xdr:row>
                    <xdr:rowOff>69850</xdr:rowOff>
                  </from>
                  <to>
                    <xdr:col>6</xdr:col>
                    <xdr:colOff>704850</xdr:colOff>
                    <xdr:row>1</xdr:row>
                    <xdr:rowOff>323850</xdr:rowOff>
                  </to>
                </anchor>
              </controlPr>
            </control>
          </mc:Choice>
        </mc:AlternateContent>
        <mc:AlternateContent xmlns:mc="http://schemas.openxmlformats.org/markup-compatibility/2006">
          <mc:Choice Requires="x14">
            <control shapeId="5122" r:id="rId5" name="Drop Down Sort">
              <controlPr defaultSize="0" autoLine="0" autoPict="0">
                <anchor>
                  <from>
                    <xdr:col>2</xdr:col>
                    <xdr:colOff>787400</xdr:colOff>
                    <xdr:row>1</xdr:row>
                    <xdr:rowOff>514350</xdr:rowOff>
                  </from>
                  <to>
                    <xdr:col>2</xdr:col>
                    <xdr:colOff>2584450</xdr:colOff>
                    <xdr:row>1</xdr:row>
                    <xdr:rowOff>774700</xdr:rowOff>
                  </to>
                </anchor>
              </controlPr>
            </control>
          </mc:Choice>
        </mc:AlternateContent>
        <mc:AlternateContent xmlns:mc="http://schemas.openxmlformats.org/markup-compatibility/2006">
          <mc:Choice Requires="x14">
            <control shapeId="5123" r:id="rId6" name="Region Code">
              <controlPr defaultSize="0" autoLine="0" autoPict="0" macro="[0]!FilterListsRegionCode">
                <anchor>
                  <from>
                    <xdr:col>5</xdr:col>
                    <xdr:colOff>336550</xdr:colOff>
                    <xdr:row>1</xdr:row>
                    <xdr:rowOff>438150</xdr:rowOff>
                  </from>
                  <to>
                    <xdr:col>6</xdr:col>
                    <xdr:colOff>317500</xdr:colOff>
                    <xdr:row>1</xdr:row>
                    <xdr:rowOff>660400</xdr:rowOff>
                  </to>
                </anchor>
              </controlPr>
            </control>
          </mc:Choice>
        </mc:AlternateContent>
        <mc:AlternateContent xmlns:mc="http://schemas.openxmlformats.org/markup-compatibility/2006">
          <mc:Choice Requires="x14">
            <control shapeId="5124" r:id="rId7" name="Trust Code">
              <controlPr defaultSize="0" autoLine="0" autoPict="0" macro="[0]!FilterListsTrustCode">
                <anchor>
                  <from>
                    <xdr:col>5</xdr:col>
                    <xdr:colOff>336550</xdr:colOff>
                    <xdr:row>1</xdr:row>
                    <xdr:rowOff>698500</xdr:rowOff>
                  </from>
                  <to>
                    <xdr:col>6</xdr:col>
                    <xdr:colOff>317500</xdr:colOff>
                    <xdr:row>1</xdr:row>
                    <xdr:rowOff>914400</xdr:rowOff>
                  </to>
                </anchor>
              </controlPr>
            </control>
          </mc:Choice>
        </mc:AlternateContent>
        <mc:AlternateContent xmlns:mc="http://schemas.openxmlformats.org/markup-compatibility/2006">
          <mc:Choice Requires="x14">
            <control shapeId="5125" r:id="rId8" name="Sort">
              <controlPr defaultSize="0" autoFill="0" autoPict="0" macro="[0]!Sort">
                <anchor>
                  <from>
                    <xdr:col>3</xdr:col>
                    <xdr:colOff>222250</xdr:colOff>
                    <xdr:row>1</xdr:row>
                    <xdr:rowOff>679450</xdr:rowOff>
                  </from>
                  <to>
                    <xdr:col>4</xdr:col>
                    <xdr:colOff>292100</xdr:colOff>
                    <xdr:row>1</xdr:row>
                    <xdr:rowOff>933450</xdr:rowOff>
                  </to>
                </anchor>
              </controlPr>
            </control>
          </mc:Choice>
        </mc:AlternateContent>
        <mc:AlternateContent xmlns:mc="http://schemas.openxmlformats.org/markup-compatibility/2006">
          <mc:Choice Requires="x14">
            <control shapeId="5126" r:id="rId9" name="Low">
              <controlPr defaultSize="0" autoFill="0" autoLine="0" autoPict="0">
                <anchor>
                  <from>
                    <xdr:col>2</xdr:col>
                    <xdr:colOff>812800</xdr:colOff>
                    <xdr:row>1</xdr:row>
                    <xdr:rowOff>800100</xdr:rowOff>
                  </from>
                  <to>
                    <xdr:col>2</xdr:col>
                    <xdr:colOff>1428750</xdr:colOff>
                    <xdr:row>1</xdr:row>
                    <xdr:rowOff>1162050</xdr:rowOff>
                  </to>
                </anchor>
              </controlPr>
            </control>
          </mc:Choice>
        </mc:AlternateContent>
        <mc:AlternateContent xmlns:mc="http://schemas.openxmlformats.org/markup-compatibility/2006">
          <mc:Choice Requires="x14">
            <control shapeId="5127" r:id="rId10" name="High">
              <controlPr defaultSize="0" autoFill="0" autoLine="0" autoPict="0">
                <anchor>
                  <from>
                    <xdr:col>2</xdr:col>
                    <xdr:colOff>1733550</xdr:colOff>
                    <xdr:row>1</xdr:row>
                    <xdr:rowOff>800100</xdr:rowOff>
                  </from>
                  <to>
                    <xdr:col>2</xdr:col>
                    <xdr:colOff>2514600</xdr:colOff>
                    <xdr:row>1</xdr:row>
                    <xdr:rowOff>1162050</xdr:rowOff>
                  </to>
                </anchor>
              </controlPr>
            </control>
          </mc:Choice>
        </mc:AlternateContent>
        <mc:AlternateContent xmlns:mc="http://schemas.openxmlformats.org/markup-compatibility/2006">
          <mc:Choice Requires="x14">
            <control shapeId="5128" r:id="rId11" name="Notes">
              <controlPr defaultSize="0" autoFill="0" autoPict="0" macro="[0]!notessheet">
                <anchor>
                  <from>
                    <xdr:col>1</xdr:col>
                    <xdr:colOff>330200</xdr:colOff>
                    <xdr:row>1</xdr:row>
                    <xdr:rowOff>69850</xdr:rowOff>
                  </from>
                  <to>
                    <xdr:col>2</xdr:col>
                    <xdr:colOff>603250</xdr:colOff>
                    <xdr:row>1</xdr:row>
                    <xdr:rowOff>323850</xdr:rowOff>
                  </to>
                </anchor>
              </controlPr>
            </control>
          </mc:Choice>
        </mc:AlternateContent>
        <mc:AlternateContent xmlns:mc="http://schemas.openxmlformats.org/markup-compatibility/2006">
          <mc:Choice Requires="x14">
            <control shapeId="5129" r:id="rId12" name="Trust name">
              <controlPr defaultSize="0" autoLine="0" autoPict="0" macro="[0]!FilterListsTrustName">
                <anchor>
                  <from>
                    <xdr:col>6</xdr:col>
                    <xdr:colOff>355600</xdr:colOff>
                    <xdr:row>1</xdr:row>
                    <xdr:rowOff>698500</xdr:rowOff>
                  </from>
                  <to>
                    <xdr:col>9</xdr:col>
                    <xdr:colOff>38100</xdr:colOff>
                    <xdr:row>1</xdr:row>
                    <xdr:rowOff>914400</xdr:rowOff>
                  </to>
                </anchor>
              </controlPr>
            </control>
          </mc:Choice>
        </mc:AlternateContent>
        <mc:AlternateContent xmlns:mc="http://schemas.openxmlformats.org/markup-compatibility/2006">
          <mc:Choice Requires="x14">
            <control shapeId="5130" r:id="rId13" name="Region name">
              <controlPr defaultSize="0" autoLine="0" autoPict="0" macro="[0]!FilterListsRegionName">
                <anchor>
                  <from>
                    <xdr:col>6</xdr:col>
                    <xdr:colOff>355600</xdr:colOff>
                    <xdr:row>1</xdr:row>
                    <xdr:rowOff>438150</xdr:rowOff>
                  </from>
                  <to>
                    <xdr:col>9</xdr:col>
                    <xdr:colOff>38100</xdr:colOff>
                    <xdr:row>1</xdr:row>
                    <xdr:rowOff>660400</xdr:rowOff>
                  </to>
                </anchor>
              </controlPr>
            </control>
          </mc:Choice>
        </mc:AlternateContent>
        <mc:AlternateContent xmlns:mc="http://schemas.openxmlformats.org/markup-compatibility/2006">
          <mc:Choice Requires="x14">
            <control shapeId="5131" r:id="rId14" name="Reset">
              <controlPr defaultSize="0" autoFill="0" autoPict="0" macro="[0]!Reset">
                <anchor>
                  <from>
                    <xdr:col>9</xdr:col>
                    <xdr:colOff>234950</xdr:colOff>
                    <xdr:row>1</xdr:row>
                    <xdr:rowOff>850900</xdr:rowOff>
                  </from>
                  <to>
                    <xdr:col>9</xdr:col>
                    <xdr:colOff>1003300</xdr:colOff>
                    <xdr:row>1</xdr:row>
                    <xdr:rowOff>1104900</xdr:rowOff>
                  </to>
                </anchor>
              </controlPr>
            </control>
          </mc:Choice>
        </mc:AlternateContent>
        <mc:AlternateContent xmlns:mc="http://schemas.openxmlformats.org/markup-compatibility/2006">
          <mc:Choice Requires="x14">
            <control shapeId="5132" r:id="rId15" name="Filter">
              <controlPr defaultSize="0" autoFill="0" autoPict="0" macro="[0]!Filter">
                <anchor>
                  <from>
                    <xdr:col>9</xdr:col>
                    <xdr:colOff>234950</xdr:colOff>
                    <xdr:row>1</xdr:row>
                    <xdr:rowOff>514350</xdr:rowOff>
                  </from>
                  <to>
                    <xdr:col>9</xdr:col>
                    <xdr:colOff>1003300</xdr:colOff>
                    <xdr:row>1</xdr:row>
                    <xdr:rowOff>774700</xdr:rowOff>
                  </to>
                </anchor>
              </controlPr>
            </control>
          </mc:Choice>
        </mc:AlternateContent>
        <mc:AlternateContent xmlns:mc="http://schemas.openxmlformats.org/markup-compatibility/2006">
          <mc:Choice Requires="x14">
            <control shapeId="5133" r:id="rId16" name="Regions">
              <controlPr defaultSize="0" autoFill="0" autoPict="0" macro="[0]!regionsheet">
                <anchor>
                  <from>
                    <xdr:col>4</xdr:col>
                    <xdr:colOff>228600</xdr:colOff>
                    <xdr:row>1</xdr:row>
                    <xdr:rowOff>69850</xdr:rowOff>
                  </from>
                  <to>
                    <xdr:col>4</xdr:col>
                    <xdr:colOff>1854200</xdr:colOff>
                    <xdr:row>1</xdr:row>
                    <xdr:rowOff>323850</xdr:rowOff>
                  </to>
                </anchor>
              </controlPr>
            </control>
          </mc:Choice>
        </mc:AlternateContent>
        <mc:AlternateContent xmlns:mc="http://schemas.openxmlformats.org/markup-compatibility/2006">
          <mc:Choice Requires="x14">
            <control shapeId="5134" r:id="rId17" name="Trusts">
              <controlPr defaultSize="0" autoFill="0" autoPict="0" macro="[0]!trustssheet">
                <anchor>
                  <from>
                    <xdr:col>4</xdr:col>
                    <xdr:colOff>1987550</xdr:colOff>
                    <xdr:row>1</xdr:row>
                    <xdr:rowOff>69850</xdr:rowOff>
                  </from>
                  <to>
                    <xdr:col>5</xdr:col>
                    <xdr:colOff>520700</xdr:colOff>
                    <xdr:row>1</xdr:row>
                    <xdr:rowOff>323850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787400</xdr:colOff>
                    <xdr:row>1</xdr:row>
                    <xdr:rowOff>69850</xdr:rowOff>
                  </from>
                  <to>
                    <xdr:col>2</xdr:col>
                    <xdr:colOff>1714500</xdr:colOff>
                    <xdr:row>1</xdr:row>
                    <xdr:rowOff>323850</xdr:rowOff>
                  </to>
                </anchor>
              </controlPr>
            </control>
          </mc:Choice>
        </mc:AlternateContent>
        <mc:AlternateContent xmlns:mc="http://schemas.openxmlformats.org/markup-compatibility/2006">
          <mc:Choice Requires="x14">
            <control shapeId="5136" r:id="rId19" name="Site Code">
              <controlPr defaultSize="0" autoLine="0" autoPict="0" macro="[0]!FilterListsSiteCode">
                <anchor>
                  <from>
                    <xdr:col>5</xdr:col>
                    <xdr:colOff>336550</xdr:colOff>
                    <xdr:row>1</xdr:row>
                    <xdr:rowOff>952500</xdr:rowOff>
                  </from>
                  <to>
                    <xdr:col>6</xdr:col>
                    <xdr:colOff>317500</xdr:colOff>
                    <xdr:row>1</xdr:row>
                    <xdr:rowOff>1174750</xdr:rowOff>
                  </to>
                </anchor>
              </controlPr>
            </control>
          </mc:Choice>
        </mc:AlternateContent>
        <mc:AlternateContent xmlns:mc="http://schemas.openxmlformats.org/markup-compatibility/2006">
          <mc:Choice Requires="x14">
            <control shapeId="5137" r:id="rId20" name="Site Name">
              <controlPr defaultSize="0" autoLine="0" autoPict="0" macro="[0]!FilterListsSiteName">
                <anchor>
                  <from>
                    <xdr:col>6</xdr:col>
                    <xdr:colOff>355600</xdr:colOff>
                    <xdr:row>1</xdr:row>
                    <xdr:rowOff>952500</xdr:rowOff>
                  </from>
                  <to>
                    <xdr:col>9</xdr:col>
                    <xdr:colOff>38100</xdr:colOff>
                    <xdr:row>1</xdr:row>
                    <xdr:rowOff>1174750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theme="3" tint="0.59999389629810485"/>
  </sheetPr>
  <dimension ref="A1:AG240"/>
  <sheetViews>
    <sheetView topLeftCell="T1" workbookViewId="0">
      <selection activeCell="AD1" sqref="AD1:AG240"/>
    </sheetView>
  </sheetViews>
  <sheetFormatPr defaultColWidth="9.08984375" defaultRowHeight="14.5" x14ac:dyDescent="0.35"/>
  <cols>
    <col min="1" max="1" width="11.90625" style="97" bestFit="1" customWidth="1"/>
    <col min="2" max="2" width="9.08984375" style="97"/>
    <col min="3" max="3" width="16.90625" style="97" bestFit="1" customWidth="1"/>
    <col min="4" max="4" width="17.36328125" style="97" bestFit="1" customWidth="1"/>
    <col min="5" max="5" width="9.6328125" style="97" bestFit="1" customWidth="1"/>
    <col min="6" max="6" width="10.36328125" style="97" bestFit="1" customWidth="1"/>
    <col min="7" max="7" width="9.08984375" style="97"/>
    <col min="8" max="8" width="9.6328125" style="97" bestFit="1" customWidth="1"/>
    <col min="9" max="10" width="9.08984375" style="97"/>
    <col min="11" max="11" width="28" style="97" bestFit="1" customWidth="1"/>
    <col min="12" max="12" width="37.54296875" style="97" bestFit="1" customWidth="1"/>
    <col min="13" max="13" width="28" style="97" bestFit="1" customWidth="1"/>
    <col min="14" max="14" width="20" style="97" bestFit="1" customWidth="1"/>
    <col min="15" max="15" width="7.08984375" style="97" bestFit="1" customWidth="1"/>
    <col min="16" max="16" width="41.54296875" style="97" bestFit="1" customWidth="1"/>
    <col min="17" max="17" width="17" style="97" bestFit="1" customWidth="1"/>
    <col min="18" max="18" width="7.08984375" style="97" bestFit="1" customWidth="1"/>
    <col min="19" max="19" width="41.54296875" style="97" bestFit="1" customWidth="1"/>
    <col min="20" max="20" width="14.54296875" style="97" bestFit="1" customWidth="1"/>
    <col min="21" max="22" width="9.08984375" style="97"/>
    <col min="23" max="23" width="16.453125" style="97" customWidth="1"/>
    <col min="24" max="24" width="9.08984375" style="97"/>
    <col min="25" max="25" width="33.90625" style="97" customWidth="1"/>
    <col min="26" max="26" width="16.90625" style="97" bestFit="1" customWidth="1"/>
    <col min="27" max="27" width="9.08984375" style="7"/>
    <col min="28" max="28" width="52.36328125" style="7" customWidth="1"/>
    <col min="29" max="29" width="16" style="97" bestFit="1" customWidth="1"/>
    <col min="30" max="31" width="8.90625" style="7" customWidth="1"/>
    <col min="32" max="33" width="9.08984375" style="7"/>
    <col min="34" max="16384" width="9.08984375" style="97"/>
  </cols>
  <sheetData>
    <row r="1" spans="1:33" x14ac:dyDescent="0.35">
      <c r="A1" s="96"/>
      <c r="B1" s="96" t="s">
        <v>815</v>
      </c>
      <c r="C1" s="96" t="s">
        <v>13</v>
      </c>
      <c r="D1" s="96" t="s">
        <v>816</v>
      </c>
      <c r="E1" s="96" t="s">
        <v>817</v>
      </c>
      <c r="F1" s="96" t="s">
        <v>818</v>
      </c>
      <c r="G1" s="96" t="s">
        <v>335</v>
      </c>
      <c r="H1" s="96" t="s">
        <v>336</v>
      </c>
      <c r="J1" s="98" t="s">
        <v>819</v>
      </c>
      <c r="K1" s="97" t="s">
        <v>820</v>
      </c>
      <c r="L1" s="97" t="s">
        <v>820</v>
      </c>
      <c r="M1" s="97" t="s">
        <v>820</v>
      </c>
      <c r="N1" s="98" t="s">
        <v>821</v>
      </c>
      <c r="O1" s="97" t="s">
        <v>822</v>
      </c>
      <c r="P1" s="97" t="s">
        <v>823</v>
      </c>
      <c r="Q1" s="98" t="s">
        <v>824</v>
      </c>
      <c r="R1" s="97" t="s">
        <v>822</v>
      </c>
      <c r="S1" s="97" t="s">
        <v>823</v>
      </c>
      <c r="T1" s="98" t="s">
        <v>825</v>
      </c>
      <c r="U1" s="97" t="s">
        <v>822</v>
      </c>
      <c r="V1" s="97" t="s">
        <v>822</v>
      </c>
      <c r="W1" s="97" t="s">
        <v>823</v>
      </c>
      <c r="X1" s="97" t="s">
        <v>822</v>
      </c>
      <c r="Y1" s="97" t="s">
        <v>823</v>
      </c>
      <c r="Z1" s="98" t="s">
        <v>826</v>
      </c>
      <c r="AA1" s="7" t="s">
        <v>822</v>
      </c>
      <c r="AB1" s="7" t="s">
        <v>823</v>
      </c>
      <c r="AC1" s="98" t="s">
        <v>827</v>
      </c>
      <c r="AD1" s="7" t="s">
        <v>822</v>
      </c>
      <c r="AE1" s="7" t="s">
        <v>823</v>
      </c>
      <c r="AF1" s="7" t="s">
        <v>822</v>
      </c>
      <c r="AG1" s="7" t="s">
        <v>823</v>
      </c>
    </row>
    <row r="2" spans="1:33" x14ac:dyDescent="0.35">
      <c r="A2" s="99" t="s">
        <v>828</v>
      </c>
      <c r="B2" s="99">
        <v>1</v>
      </c>
      <c r="C2" s="99">
        <v>1</v>
      </c>
      <c r="D2" s="99">
        <v>1</v>
      </c>
      <c r="E2" s="99" t="s">
        <v>829</v>
      </c>
      <c r="F2" s="99" t="s">
        <v>829</v>
      </c>
      <c r="G2" s="99" t="s">
        <v>829</v>
      </c>
      <c r="H2" s="99" t="s">
        <v>829</v>
      </c>
      <c r="K2" s="97" t="s">
        <v>13</v>
      </c>
      <c r="L2" s="97" t="s">
        <v>13</v>
      </c>
      <c r="M2" s="97" t="s">
        <v>13</v>
      </c>
      <c r="O2" s="97" t="s">
        <v>28</v>
      </c>
      <c r="P2" s="97" t="s">
        <v>29</v>
      </c>
      <c r="R2" s="97" t="s">
        <v>54</v>
      </c>
      <c r="S2" s="97" t="s">
        <v>43</v>
      </c>
      <c r="U2" s="97" t="s">
        <v>54</v>
      </c>
      <c r="V2" s="97" t="s">
        <v>66</v>
      </c>
      <c r="W2" s="97" t="s">
        <v>67</v>
      </c>
      <c r="X2" s="97" t="s">
        <v>337</v>
      </c>
      <c r="Y2" s="97" t="s">
        <v>338</v>
      </c>
      <c r="AA2" s="7" t="s">
        <v>242</v>
      </c>
      <c r="AB2" s="7" t="s">
        <v>147</v>
      </c>
      <c r="AD2" s="7" t="s">
        <v>242</v>
      </c>
      <c r="AE2" s="7" t="s">
        <v>147</v>
      </c>
      <c r="AF2" s="7" t="s">
        <v>655</v>
      </c>
      <c r="AG2" s="7" t="s">
        <v>618</v>
      </c>
    </row>
    <row r="3" spans="1:33" x14ac:dyDescent="0.35">
      <c r="A3" s="99" t="s">
        <v>830</v>
      </c>
      <c r="B3" s="99">
        <v>1</v>
      </c>
      <c r="C3" s="99">
        <v>1</v>
      </c>
      <c r="D3" s="99">
        <v>1</v>
      </c>
      <c r="E3" s="99">
        <v>1</v>
      </c>
      <c r="F3" s="99">
        <v>1</v>
      </c>
      <c r="G3" s="99" t="s">
        <v>829</v>
      </c>
      <c r="H3" s="99" t="s">
        <v>829</v>
      </c>
      <c r="K3" s="97" t="s">
        <v>14</v>
      </c>
      <c r="L3" s="97" t="s">
        <v>56</v>
      </c>
      <c r="M3" s="97" t="s">
        <v>56</v>
      </c>
      <c r="O3" s="97" t="s">
        <v>30</v>
      </c>
      <c r="P3" s="97" t="s">
        <v>31</v>
      </c>
      <c r="R3" s="97" t="s">
        <v>28</v>
      </c>
      <c r="S3" s="97" t="s">
        <v>33</v>
      </c>
      <c r="U3" s="97" t="s">
        <v>54</v>
      </c>
      <c r="V3" s="97" t="s">
        <v>66</v>
      </c>
      <c r="W3" s="97" t="s">
        <v>67</v>
      </c>
      <c r="X3" s="97" t="s">
        <v>339</v>
      </c>
      <c r="Y3" s="97" t="s">
        <v>340</v>
      </c>
      <c r="AA3" s="7" t="s">
        <v>142</v>
      </c>
      <c r="AB3" s="7" t="s">
        <v>105</v>
      </c>
      <c r="AD3" s="7" t="s">
        <v>142</v>
      </c>
      <c r="AE3" s="7" t="s">
        <v>105</v>
      </c>
      <c r="AF3" s="7" t="s">
        <v>657</v>
      </c>
      <c r="AG3" s="7" t="s">
        <v>420</v>
      </c>
    </row>
    <row r="4" spans="1:33" x14ac:dyDescent="0.35">
      <c r="A4" s="99" t="s">
        <v>831</v>
      </c>
      <c r="B4" s="99">
        <v>1</v>
      </c>
      <c r="C4" s="99">
        <v>1</v>
      </c>
      <c r="D4" s="99">
        <v>1</v>
      </c>
      <c r="E4" s="99">
        <v>1</v>
      </c>
      <c r="F4" s="99">
        <v>1</v>
      </c>
      <c r="G4" s="99">
        <v>1</v>
      </c>
      <c r="H4" s="99">
        <v>1</v>
      </c>
      <c r="K4" s="97" t="s">
        <v>15</v>
      </c>
      <c r="L4" s="97" t="s">
        <v>57</v>
      </c>
      <c r="M4" s="97" t="s">
        <v>57</v>
      </c>
      <c r="O4" s="97" t="s">
        <v>32</v>
      </c>
      <c r="P4" s="97" t="s">
        <v>33</v>
      </c>
      <c r="R4" s="97" t="s">
        <v>30</v>
      </c>
      <c r="S4" s="97" t="s">
        <v>31</v>
      </c>
      <c r="U4" s="97" t="s">
        <v>54</v>
      </c>
      <c r="V4" s="97" t="s">
        <v>68</v>
      </c>
      <c r="W4" s="97" t="s">
        <v>69</v>
      </c>
      <c r="X4" s="97" t="s">
        <v>341</v>
      </c>
      <c r="Y4" s="97" t="s">
        <v>342</v>
      </c>
      <c r="AA4" s="7" t="s">
        <v>303</v>
      </c>
      <c r="AB4" s="7" t="s">
        <v>149</v>
      </c>
      <c r="AD4" s="7" t="s">
        <v>303</v>
      </c>
      <c r="AE4" s="7" t="s">
        <v>149</v>
      </c>
      <c r="AF4" s="7" t="s">
        <v>653</v>
      </c>
      <c r="AG4" s="7" t="s">
        <v>502</v>
      </c>
    </row>
    <row r="5" spans="1:33" x14ac:dyDescent="0.35">
      <c r="K5" s="97" t="s">
        <v>16</v>
      </c>
      <c r="L5" s="97" t="s">
        <v>15</v>
      </c>
      <c r="M5" s="97" t="s">
        <v>335</v>
      </c>
      <c r="O5" s="97" t="s">
        <v>34</v>
      </c>
      <c r="P5" s="97" t="s">
        <v>35</v>
      </c>
      <c r="R5" s="97" t="s">
        <v>32</v>
      </c>
      <c r="S5" s="97" t="s">
        <v>45</v>
      </c>
      <c r="U5" s="97" t="s">
        <v>54</v>
      </c>
      <c r="V5" s="97" t="s">
        <v>68</v>
      </c>
      <c r="W5" s="97" t="s">
        <v>69</v>
      </c>
      <c r="X5" s="97" t="s">
        <v>343</v>
      </c>
      <c r="Y5" s="97" t="s">
        <v>344</v>
      </c>
      <c r="AA5" s="7" t="s">
        <v>68</v>
      </c>
      <c r="AB5" s="7" t="s">
        <v>314</v>
      </c>
      <c r="AD5" s="7" t="s">
        <v>68</v>
      </c>
      <c r="AE5" s="7" t="s">
        <v>314</v>
      </c>
      <c r="AF5" s="7" t="s">
        <v>659</v>
      </c>
      <c r="AG5" s="7" t="s">
        <v>594</v>
      </c>
    </row>
    <row r="6" spans="1:33" x14ac:dyDescent="0.35">
      <c r="K6" s="97" t="s">
        <v>6</v>
      </c>
      <c r="L6" s="97" t="s">
        <v>16</v>
      </c>
      <c r="M6" s="97" t="s">
        <v>336</v>
      </c>
      <c r="O6" s="97" t="s">
        <v>36</v>
      </c>
      <c r="P6" s="97" t="s">
        <v>37</v>
      </c>
      <c r="R6" s="97" t="s">
        <v>38</v>
      </c>
      <c r="S6" s="97" t="s">
        <v>35</v>
      </c>
      <c r="U6" s="97" t="s">
        <v>54</v>
      </c>
      <c r="V6" s="97" t="s">
        <v>68</v>
      </c>
      <c r="W6" s="97" t="s">
        <v>69</v>
      </c>
      <c r="X6" s="97" t="s">
        <v>345</v>
      </c>
      <c r="Y6" s="97" t="s">
        <v>346</v>
      </c>
      <c r="AA6" s="7" t="s">
        <v>88</v>
      </c>
      <c r="AB6" s="7" t="s">
        <v>67</v>
      </c>
      <c r="AD6" s="7" t="s">
        <v>88</v>
      </c>
      <c r="AE6" s="7" t="s">
        <v>67</v>
      </c>
      <c r="AF6" s="7" t="s">
        <v>663</v>
      </c>
      <c r="AG6" s="7" t="s">
        <v>750</v>
      </c>
    </row>
    <row r="7" spans="1:33" x14ac:dyDescent="0.35">
      <c r="K7" s="97" t="s">
        <v>17</v>
      </c>
      <c r="L7" s="97" t="s">
        <v>6</v>
      </c>
      <c r="M7" s="97" t="s">
        <v>15</v>
      </c>
      <c r="O7" s="97" t="s">
        <v>38</v>
      </c>
      <c r="P7" s="97" t="s">
        <v>39</v>
      </c>
      <c r="R7" s="97" t="s">
        <v>40</v>
      </c>
      <c r="S7" s="97" t="s">
        <v>37</v>
      </c>
      <c r="U7" s="97" t="s">
        <v>54</v>
      </c>
      <c r="V7" s="97" t="s">
        <v>68</v>
      </c>
      <c r="W7" s="97" t="s">
        <v>69</v>
      </c>
      <c r="X7" s="97" t="s">
        <v>347</v>
      </c>
      <c r="Y7" s="97" t="s">
        <v>348</v>
      </c>
      <c r="AA7" s="7" t="s">
        <v>329</v>
      </c>
      <c r="AB7" s="7" t="s">
        <v>107</v>
      </c>
      <c r="AD7" s="7" t="s">
        <v>329</v>
      </c>
      <c r="AE7" s="7" t="s">
        <v>107</v>
      </c>
      <c r="AF7" s="7" t="s">
        <v>665</v>
      </c>
      <c r="AG7" s="7" t="s">
        <v>528</v>
      </c>
    </row>
    <row r="8" spans="1:33" x14ac:dyDescent="0.35">
      <c r="K8" s="97" t="s">
        <v>832</v>
      </c>
      <c r="L8" s="97" t="s">
        <v>17</v>
      </c>
      <c r="M8" s="97" t="s">
        <v>16</v>
      </c>
      <c r="O8" s="97" t="s">
        <v>40</v>
      </c>
      <c r="P8" s="97" t="s">
        <v>41</v>
      </c>
      <c r="R8" s="97" t="s">
        <v>42</v>
      </c>
      <c r="S8" s="97" t="s">
        <v>55</v>
      </c>
      <c r="U8" s="97" t="s">
        <v>54</v>
      </c>
      <c r="V8" s="97" t="s">
        <v>68</v>
      </c>
      <c r="W8" s="97" t="s">
        <v>69</v>
      </c>
      <c r="X8" s="97" t="s">
        <v>349</v>
      </c>
      <c r="Y8" s="97" t="s">
        <v>350</v>
      </c>
      <c r="AA8" s="7" t="s">
        <v>295</v>
      </c>
      <c r="AB8" s="7" t="s">
        <v>69</v>
      </c>
      <c r="AD8" s="7" t="s">
        <v>295</v>
      </c>
      <c r="AE8" s="7" t="s">
        <v>69</v>
      </c>
      <c r="AF8" s="7" t="s">
        <v>661</v>
      </c>
      <c r="AG8" s="7" t="s">
        <v>404</v>
      </c>
    </row>
    <row r="9" spans="1:33" x14ac:dyDescent="0.35">
      <c r="K9" s="97" t="s">
        <v>20</v>
      </c>
      <c r="L9" s="97" t="s">
        <v>832</v>
      </c>
      <c r="M9" s="97" t="s">
        <v>6</v>
      </c>
      <c r="O9" s="97" t="s">
        <v>42</v>
      </c>
      <c r="P9" s="97" t="s">
        <v>43</v>
      </c>
      <c r="R9" s="97" t="s">
        <v>44</v>
      </c>
      <c r="S9" s="97" t="s">
        <v>39</v>
      </c>
      <c r="U9" s="97" t="s">
        <v>54</v>
      </c>
      <c r="V9" s="97" t="s">
        <v>70</v>
      </c>
      <c r="W9" s="97" t="s">
        <v>71</v>
      </c>
      <c r="X9" s="97" t="s">
        <v>351</v>
      </c>
      <c r="Y9" s="97" t="s">
        <v>352</v>
      </c>
      <c r="AA9" s="7" t="s">
        <v>281</v>
      </c>
      <c r="AB9" s="7" t="s">
        <v>211</v>
      </c>
      <c r="AD9" s="7" t="s">
        <v>281</v>
      </c>
      <c r="AE9" s="7" t="s">
        <v>211</v>
      </c>
      <c r="AF9" s="7" t="s">
        <v>493</v>
      </c>
      <c r="AG9" s="7" t="s">
        <v>422</v>
      </c>
    </row>
    <row r="10" spans="1:33" x14ac:dyDescent="0.35">
      <c r="K10" s="97" t="s">
        <v>21</v>
      </c>
      <c r="L10" s="97" t="s">
        <v>20</v>
      </c>
      <c r="M10" s="97" t="s">
        <v>17</v>
      </c>
      <c r="O10" s="97" t="s">
        <v>44</v>
      </c>
      <c r="P10" s="97" t="s">
        <v>45</v>
      </c>
      <c r="R10" s="97" t="s">
        <v>34</v>
      </c>
      <c r="S10" s="97" t="s">
        <v>51</v>
      </c>
      <c r="U10" s="97" t="s">
        <v>54</v>
      </c>
      <c r="V10" s="97" t="s">
        <v>70</v>
      </c>
      <c r="W10" s="97" t="s">
        <v>71</v>
      </c>
      <c r="X10" s="97" t="s">
        <v>353</v>
      </c>
      <c r="Y10" s="97" t="s">
        <v>354</v>
      </c>
      <c r="AA10" s="7" t="s">
        <v>293</v>
      </c>
      <c r="AB10" s="7" t="s">
        <v>213</v>
      </c>
      <c r="AD10" s="7" t="s">
        <v>293</v>
      </c>
      <c r="AE10" s="7" t="s">
        <v>213</v>
      </c>
      <c r="AF10" s="7" t="s">
        <v>489</v>
      </c>
      <c r="AG10" s="7" t="s">
        <v>614</v>
      </c>
    </row>
    <row r="11" spans="1:33" x14ac:dyDescent="0.35">
      <c r="K11" s="97" t="s">
        <v>22</v>
      </c>
      <c r="L11" s="97" t="s">
        <v>21</v>
      </c>
      <c r="M11" s="97" t="s">
        <v>832</v>
      </c>
      <c r="O11" s="97" t="s">
        <v>46</v>
      </c>
      <c r="P11" s="97" t="s">
        <v>47</v>
      </c>
      <c r="R11" s="97" t="s">
        <v>36</v>
      </c>
      <c r="S11" s="97" t="s">
        <v>53</v>
      </c>
      <c r="U11" s="97" t="s">
        <v>54</v>
      </c>
      <c r="V11" s="97" t="s">
        <v>70</v>
      </c>
      <c r="W11" s="97" t="s">
        <v>71</v>
      </c>
      <c r="X11" s="97" t="s">
        <v>355</v>
      </c>
      <c r="Y11" s="97" t="s">
        <v>356</v>
      </c>
      <c r="AA11" s="7" t="s">
        <v>277</v>
      </c>
      <c r="AB11" s="7" t="s">
        <v>181</v>
      </c>
      <c r="AD11" s="7" t="s">
        <v>277</v>
      </c>
      <c r="AE11" s="7" t="s">
        <v>181</v>
      </c>
      <c r="AF11" s="7" t="s">
        <v>491</v>
      </c>
      <c r="AG11" s="7" t="s">
        <v>752</v>
      </c>
    </row>
    <row r="12" spans="1:33" x14ac:dyDescent="0.35">
      <c r="K12" s="97" t="s">
        <v>23</v>
      </c>
      <c r="L12" s="97" t="s">
        <v>22</v>
      </c>
      <c r="M12" s="97" t="s">
        <v>20</v>
      </c>
      <c r="O12" s="97" t="s">
        <v>48</v>
      </c>
      <c r="P12" s="97" t="s">
        <v>49</v>
      </c>
      <c r="R12" s="97" t="s">
        <v>46</v>
      </c>
      <c r="S12" s="97" t="s">
        <v>49</v>
      </c>
      <c r="U12" s="97" t="s">
        <v>54</v>
      </c>
      <c r="V12" s="97" t="s">
        <v>72</v>
      </c>
      <c r="W12" s="97" t="s">
        <v>73</v>
      </c>
      <c r="X12" s="97" t="s">
        <v>357</v>
      </c>
      <c r="Y12" s="97" t="s">
        <v>358</v>
      </c>
      <c r="AA12" s="7" t="s">
        <v>108</v>
      </c>
      <c r="AB12" s="7" t="s">
        <v>255</v>
      </c>
      <c r="AD12" s="7" t="s">
        <v>108</v>
      </c>
      <c r="AE12" s="7" t="s">
        <v>255</v>
      </c>
      <c r="AF12" s="7" t="s">
        <v>495</v>
      </c>
      <c r="AG12" s="7" t="s">
        <v>430</v>
      </c>
    </row>
    <row r="13" spans="1:33" x14ac:dyDescent="0.35">
      <c r="K13" s="97" t="s">
        <v>24</v>
      </c>
      <c r="L13" s="97" t="s">
        <v>23</v>
      </c>
      <c r="M13" s="97" t="s">
        <v>21</v>
      </c>
      <c r="O13" s="97" t="s">
        <v>50</v>
      </c>
      <c r="P13" s="97" t="s">
        <v>51</v>
      </c>
      <c r="R13" s="97" t="s">
        <v>48</v>
      </c>
      <c r="S13" s="97" t="s">
        <v>47</v>
      </c>
      <c r="U13" s="97" t="s">
        <v>54</v>
      </c>
      <c r="V13" s="97" t="s">
        <v>72</v>
      </c>
      <c r="W13" s="97" t="s">
        <v>73</v>
      </c>
      <c r="X13" s="97" t="s">
        <v>359</v>
      </c>
      <c r="Y13" s="97" t="s">
        <v>360</v>
      </c>
      <c r="AA13" s="7" t="s">
        <v>230</v>
      </c>
      <c r="AB13" s="7" t="s">
        <v>241</v>
      </c>
      <c r="AD13" s="7" t="s">
        <v>230</v>
      </c>
      <c r="AE13" s="7" t="s">
        <v>241</v>
      </c>
      <c r="AF13" s="7" t="s">
        <v>755</v>
      </c>
      <c r="AG13" s="7" t="s">
        <v>616</v>
      </c>
    </row>
    <row r="14" spans="1:33" x14ac:dyDescent="0.35">
      <c r="K14" s="97" t="s">
        <v>25</v>
      </c>
      <c r="L14" s="97" t="s">
        <v>24</v>
      </c>
      <c r="M14" s="97" t="s">
        <v>22</v>
      </c>
      <c r="O14" s="97" t="s">
        <v>52</v>
      </c>
      <c r="P14" s="97" t="s">
        <v>53</v>
      </c>
      <c r="R14" s="97" t="s">
        <v>50</v>
      </c>
      <c r="S14" s="97" t="s">
        <v>41</v>
      </c>
      <c r="U14" s="97" t="s">
        <v>54</v>
      </c>
      <c r="V14" s="97" t="s">
        <v>74</v>
      </c>
      <c r="W14" s="97" t="s">
        <v>75</v>
      </c>
      <c r="X14" s="97" t="s">
        <v>361</v>
      </c>
      <c r="Y14" s="97" t="s">
        <v>362</v>
      </c>
      <c r="AA14" s="7" t="s">
        <v>94</v>
      </c>
      <c r="AB14" s="7" t="s">
        <v>109</v>
      </c>
      <c r="AD14" s="7" t="s">
        <v>94</v>
      </c>
      <c r="AE14" s="7" t="s">
        <v>109</v>
      </c>
      <c r="AF14" s="7" t="s">
        <v>345</v>
      </c>
      <c r="AG14" s="7" t="s">
        <v>556</v>
      </c>
    </row>
    <row r="15" spans="1:33" x14ac:dyDescent="0.35">
      <c r="L15" s="97" t="s">
        <v>25</v>
      </c>
      <c r="M15" s="97" t="s">
        <v>23</v>
      </c>
      <c r="O15" s="97" t="s">
        <v>54</v>
      </c>
      <c r="P15" s="97" t="s">
        <v>55</v>
      </c>
      <c r="R15" s="97" t="s">
        <v>52</v>
      </c>
      <c r="S15" s="97" t="s">
        <v>29</v>
      </c>
      <c r="U15" s="97" t="s">
        <v>54</v>
      </c>
      <c r="V15" s="97" t="s">
        <v>74</v>
      </c>
      <c r="W15" s="97" t="s">
        <v>75</v>
      </c>
      <c r="X15" s="97" t="s">
        <v>363</v>
      </c>
      <c r="Y15" s="97" t="s">
        <v>364</v>
      </c>
      <c r="AA15" s="7" t="s">
        <v>92</v>
      </c>
      <c r="AB15" s="7" t="s">
        <v>316</v>
      </c>
      <c r="AD15" s="7" t="s">
        <v>92</v>
      </c>
      <c r="AE15" s="7" t="s">
        <v>316</v>
      </c>
      <c r="AF15" s="7" t="s">
        <v>347</v>
      </c>
      <c r="AG15" s="7" t="s">
        <v>560</v>
      </c>
    </row>
    <row r="16" spans="1:33" x14ac:dyDescent="0.35">
      <c r="L16" s="97" t="s">
        <v>59</v>
      </c>
      <c r="M16" s="97" t="s">
        <v>24</v>
      </c>
      <c r="U16" s="97" t="s">
        <v>54</v>
      </c>
      <c r="V16" s="97" t="s">
        <v>76</v>
      </c>
      <c r="W16" s="97" t="s">
        <v>77</v>
      </c>
      <c r="X16" s="97" t="s">
        <v>365</v>
      </c>
      <c r="Y16" s="97" t="s">
        <v>366</v>
      </c>
      <c r="AA16" s="7" t="s">
        <v>98</v>
      </c>
      <c r="AB16" s="7" t="s">
        <v>298</v>
      </c>
      <c r="AD16" s="7" t="s">
        <v>98</v>
      </c>
      <c r="AE16" s="7" t="s">
        <v>298</v>
      </c>
      <c r="AF16" s="7" t="s">
        <v>343</v>
      </c>
      <c r="AG16" s="7" t="s">
        <v>684</v>
      </c>
    </row>
    <row r="17" spans="12:33" x14ac:dyDescent="0.35">
      <c r="L17" s="97" t="s">
        <v>60</v>
      </c>
      <c r="M17" s="97" t="s">
        <v>25</v>
      </c>
      <c r="U17" s="97" t="s">
        <v>54</v>
      </c>
      <c r="V17" s="97" t="s">
        <v>76</v>
      </c>
      <c r="W17" s="97" t="s">
        <v>77</v>
      </c>
      <c r="X17" s="97" t="s">
        <v>367</v>
      </c>
      <c r="Y17" s="97" t="s">
        <v>368</v>
      </c>
      <c r="AA17" s="7" t="s">
        <v>84</v>
      </c>
      <c r="AB17" s="7" t="s">
        <v>111</v>
      </c>
      <c r="AD17" s="7" t="s">
        <v>84</v>
      </c>
      <c r="AE17" s="7" t="s">
        <v>111</v>
      </c>
      <c r="AF17" s="7" t="s">
        <v>341</v>
      </c>
      <c r="AG17" s="7" t="s">
        <v>424</v>
      </c>
    </row>
    <row r="18" spans="12:33" x14ac:dyDescent="0.35">
      <c r="L18" s="97" t="s">
        <v>61</v>
      </c>
      <c r="U18" s="97" t="s">
        <v>54</v>
      </c>
      <c r="V18" s="97" t="s">
        <v>78</v>
      </c>
      <c r="W18" s="97" t="s">
        <v>79</v>
      </c>
      <c r="X18" s="97" t="s">
        <v>369</v>
      </c>
      <c r="Y18" s="97" t="s">
        <v>370</v>
      </c>
      <c r="AA18" s="7" t="s">
        <v>273</v>
      </c>
      <c r="AB18" s="7" t="s">
        <v>215</v>
      </c>
      <c r="AD18" s="7" t="s">
        <v>273</v>
      </c>
      <c r="AE18" s="7" t="s">
        <v>215</v>
      </c>
      <c r="AF18" s="7" t="s">
        <v>349</v>
      </c>
      <c r="AG18" s="7" t="s">
        <v>736</v>
      </c>
    </row>
    <row r="19" spans="12:33" x14ac:dyDescent="0.35">
      <c r="L19" s="97" t="s">
        <v>62</v>
      </c>
      <c r="U19" s="97" t="s">
        <v>54</v>
      </c>
      <c r="V19" s="97" t="s">
        <v>80</v>
      </c>
      <c r="W19" s="97" t="s">
        <v>81</v>
      </c>
      <c r="X19" s="97" t="s">
        <v>371</v>
      </c>
      <c r="Y19" s="97" t="s">
        <v>372</v>
      </c>
      <c r="AA19" s="7" t="s">
        <v>262</v>
      </c>
      <c r="AB19" s="7" t="s">
        <v>71</v>
      </c>
      <c r="AD19" s="7" t="s">
        <v>262</v>
      </c>
      <c r="AE19" s="7" t="s">
        <v>71</v>
      </c>
      <c r="AF19" s="7" t="s">
        <v>395</v>
      </c>
      <c r="AG19" s="7" t="s">
        <v>738</v>
      </c>
    </row>
    <row r="20" spans="12:33" x14ac:dyDescent="0.35">
      <c r="L20" s="97" t="s">
        <v>63</v>
      </c>
      <c r="U20" s="97" t="s">
        <v>54</v>
      </c>
      <c r="V20" s="97" t="s">
        <v>80</v>
      </c>
      <c r="W20" s="97" t="s">
        <v>81</v>
      </c>
      <c r="X20" s="97" t="s">
        <v>373</v>
      </c>
      <c r="Y20" s="97" t="s">
        <v>374</v>
      </c>
      <c r="AA20" s="7" t="s">
        <v>196</v>
      </c>
      <c r="AB20" s="7" t="s">
        <v>169</v>
      </c>
      <c r="AD20" s="7" t="s">
        <v>196</v>
      </c>
      <c r="AE20" s="7" t="s">
        <v>169</v>
      </c>
      <c r="AF20" s="7" t="s">
        <v>393</v>
      </c>
      <c r="AG20" s="7" t="s">
        <v>740</v>
      </c>
    </row>
    <row r="21" spans="12:33" x14ac:dyDescent="0.35">
      <c r="L21" s="97" t="s">
        <v>64</v>
      </c>
      <c r="U21" s="97" t="s">
        <v>54</v>
      </c>
      <c r="V21" s="97" t="s">
        <v>80</v>
      </c>
      <c r="W21" s="97" t="s">
        <v>81</v>
      </c>
      <c r="X21" s="97" t="s">
        <v>375</v>
      </c>
      <c r="Y21" s="97" t="s">
        <v>376</v>
      </c>
      <c r="AA21" s="7" t="s">
        <v>166</v>
      </c>
      <c r="AB21" s="7" t="s">
        <v>151</v>
      </c>
      <c r="AD21" s="7" t="s">
        <v>166</v>
      </c>
      <c r="AE21" s="7" t="s">
        <v>151</v>
      </c>
      <c r="AF21" s="7" t="s">
        <v>397</v>
      </c>
      <c r="AG21" s="7" t="s">
        <v>632</v>
      </c>
    </row>
    <row r="22" spans="12:33" x14ac:dyDescent="0.35">
      <c r="L22" s="97" t="s">
        <v>65</v>
      </c>
      <c r="U22" s="97" t="s">
        <v>54</v>
      </c>
      <c r="V22" s="97" t="s">
        <v>80</v>
      </c>
      <c r="W22" s="97" t="s">
        <v>81</v>
      </c>
      <c r="X22" s="97" t="s">
        <v>377</v>
      </c>
      <c r="Y22" s="97" t="s">
        <v>378</v>
      </c>
      <c r="AA22" s="7" t="s">
        <v>162</v>
      </c>
      <c r="AB22" s="7" t="s">
        <v>133</v>
      </c>
      <c r="AD22" s="7" t="s">
        <v>162</v>
      </c>
      <c r="AE22" s="7" t="s">
        <v>133</v>
      </c>
      <c r="AF22" s="7" t="s">
        <v>805</v>
      </c>
      <c r="AG22" s="7" t="s">
        <v>784</v>
      </c>
    </row>
    <row r="23" spans="12:33" x14ac:dyDescent="0.35">
      <c r="U23" s="97" t="s">
        <v>54</v>
      </c>
      <c r="V23" s="97" t="s">
        <v>82</v>
      </c>
      <c r="W23" s="97" t="s">
        <v>83</v>
      </c>
      <c r="X23" s="97" t="s">
        <v>379</v>
      </c>
      <c r="Y23" s="97" t="s">
        <v>380</v>
      </c>
      <c r="AA23" s="7" t="s">
        <v>148</v>
      </c>
      <c r="AB23" s="7" t="s">
        <v>73</v>
      </c>
      <c r="AD23" s="7" t="s">
        <v>148</v>
      </c>
      <c r="AE23" s="7" t="s">
        <v>73</v>
      </c>
      <c r="AF23" s="7" t="s">
        <v>807</v>
      </c>
      <c r="AG23" s="7" t="s">
        <v>426</v>
      </c>
    </row>
    <row r="24" spans="12:33" x14ac:dyDescent="0.35">
      <c r="U24" s="97" t="s">
        <v>54</v>
      </c>
      <c r="V24" s="97" t="s">
        <v>82</v>
      </c>
      <c r="W24" s="97" t="s">
        <v>83</v>
      </c>
      <c r="X24" s="97" t="s">
        <v>381</v>
      </c>
      <c r="Y24" s="97" t="s">
        <v>382</v>
      </c>
      <c r="AA24" s="7" t="s">
        <v>156</v>
      </c>
      <c r="AB24" s="7" t="s">
        <v>318</v>
      </c>
      <c r="AD24" s="7" t="s">
        <v>156</v>
      </c>
      <c r="AE24" s="7" t="s">
        <v>318</v>
      </c>
      <c r="AF24" s="7" t="s">
        <v>741</v>
      </c>
      <c r="AG24" s="7" t="s">
        <v>372</v>
      </c>
    </row>
    <row r="25" spans="12:33" x14ac:dyDescent="0.35">
      <c r="U25" s="97" t="s">
        <v>54</v>
      </c>
      <c r="V25" s="97" t="s">
        <v>82</v>
      </c>
      <c r="W25" s="97" t="s">
        <v>83</v>
      </c>
      <c r="X25" s="97" t="s">
        <v>383</v>
      </c>
      <c r="Y25" s="97" t="s">
        <v>384</v>
      </c>
      <c r="AA25" s="7" t="s">
        <v>264</v>
      </c>
      <c r="AB25" s="7" t="s">
        <v>113</v>
      </c>
      <c r="AD25" s="7" t="s">
        <v>264</v>
      </c>
      <c r="AE25" s="7" t="s">
        <v>113</v>
      </c>
      <c r="AF25" s="7" t="s">
        <v>719</v>
      </c>
      <c r="AG25" s="7" t="s">
        <v>352</v>
      </c>
    </row>
    <row r="26" spans="12:33" x14ac:dyDescent="0.35">
      <c r="U26" s="97" t="s">
        <v>54</v>
      </c>
      <c r="V26" s="97" t="s">
        <v>84</v>
      </c>
      <c r="W26" s="97" t="s">
        <v>85</v>
      </c>
      <c r="X26" s="97" t="s">
        <v>385</v>
      </c>
      <c r="Y26" s="97" t="s">
        <v>386</v>
      </c>
      <c r="AA26" s="7" t="s">
        <v>212</v>
      </c>
      <c r="AB26" s="7" t="s">
        <v>263</v>
      </c>
      <c r="AD26" s="7" t="s">
        <v>212</v>
      </c>
      <c r="AE26" s="7" t="s">
        <v>263</v>
      </c>
      <c r="AF26" s="7" t="s">
        <v>739</v>
      </c>
      <c r="AG26" s="7" t="s">
        <v>722</v>
      </c>
    </row>
    <row r="27" spans="12:33" x14ac:dyDescent="0.35">
      <c r="U27" s="97" t="s">
        <v>54</v>
      </c>
      <c r="V27" s="97" t="s">
        <v>84</v>
      </c>
      <c r="W27" s="97" t="s">
        <v>85</v>
      </c>
      <c r="X27" s="97" t="s">
        <v>387</v>
      </c>
      <c r="Y27" s="97" t="s">
        <v>388</v>
      </c>
      <c r="AA27" s="7" t="s">
        <v>222</v>
      </c>
      <c r="AB27" s="7" t="s">
        <v>217</v>
      </c>
      <c r="AD27" s="7" t="s">
        <v>222</v>
      </c>
      <c r="AE27" s="7" t="s">
        <v>217</v>
      </c>
      <c r="AF27" s="7" t="s">
        <v>735</v>
      </c>
      <c r="AG27" s="7" t="s">
        <v>530</v>
      </c>
    </row>
    <row r="28" spans="12:33" x14ac:dyDescent="0.35">
      <c r="U28" s="97" t="s">
        <v>54</v>
      </c>
      <c r="V28" s="97" t="s">
        <v>86</v>
      </c>
      <c r="W28" s="97" t="s">
        <v>87</v>
      </c>
      <c r="X28" s="97" t="s">
        <v>389</v>
      </c>
      <c r="Y28" s="97" t="s">
        <v>390</v>
      </c>
      <c r="AA28" s="7" t="s">
        <v>130</v>
      </c>
      <c r="AB28" s="7" t="s">
        <v>153</v>
      </c>
      <c r="AD28" s="7" t="s">
        <v>130</v>
      </c>
      <c r="AE28" s="7" t="s">
        <v>153</v>
      </c>
      <c r="AF28" s="7" t="s">
        <v>737</v>
      </c>
      <c r="AG28" s="7" t="s">
        <v>688</v>
      </c>
    </row>
    <row r="29" spans="12:33" x14ac:dyDescent="0.35">
      <c r="U29" s="97" t="s">
        <v>54</v>
      </c>
      <c r="V29" s="97" t="s">
        <v>86</v>
      </c>
      <c r="W29" s="97" t="s">
        <v>87</v>
      </c>
      <c r="X29" s="97" t="s">
        <v>391</v>
      </c>
      <c r="Y29" s="97" t="s">
        <v>392</v>
      </c>
      <c r="AA29" s="7" t="s">
        <v>114</v>
      </c>
      <c r="AB29" s="7" t="s">
        <v>320</v>
      </c>
      <c r="AD29" s="7" t="s">
        <v>114</v>
      </c>
      <c r="AE29" s="7" t="s">
        <v>320</v>
      </c>
      <c r="AF29" s="7" t="s">
        <v>713</v>
      </c>
      <c r="AG29" s="7" t="s">
        <v>562</v>
      </c>
    </row>
    <row r="30" spans="12:33" x14ac:dyDescent="0.35">
      <c r="U30" s="97" t="s">
        <v>54</v>
      </c>
      <c r="V30" s="97" t="s">
        <v>88</v>
      </c>
      <c r="W30" s="97" t="s">
        <v>89</v>
      </c>
      <c r="X30" s="97" t="s">
        <v>393</v>
      </c>
      <c r="Y30" s="97" t="s">
        <v>394</v>
      </c>
      <c r="AA30" s="7" t="s">
        <v>104</v>
      </c>
      <c r="AB30" s="7" t="s">
        <v>257</v>
      </c>
      <c r="AD30" s="7" t="s">
        <v>104</v>
      </c>
      <c r="AE30" s="7" t="s">
        <v>257</v>
      </c>
      <c r="AF30" s="7" t="s">
        <v>423</v>
      </c>
      <c r="AG30" s="7" t="s">
        <v>624</v>
      </c>
    </row>
    <row r="31" spans="12:33" x14ac:dyDescent="0.35">
      <c r="U31" s="97" t="s">
        <v>54</v>
      </c>
      <c r="V31" s="97" t="s">
        <v>88</v>
      </c>
      <c r="W31" s="97" t="s">
        <v>89</v>
      </c>
      <c r="X31" s="97" t="s">
        <v>395</v>
      </c>
      <c r="Y31" s="97" t="s">
        <v>396</v>
      </c>
      <c r="AA31" s="7" t="s">
        <v>124</v>
      </c>
      <c r="AB31" s="7" t="s">
        <v>219</v>
      </c>
      <c r="AD31" s="7" t="s">
        <v>124</v>
      </c>
      <c r="AE31" s="7" t="s">
        <v>219</v>
      </c>
      <c r="AF31" s="7" t="s">
        <v>637</v>
      </c>
      <c r="AG31" s="7" t="s">
        <v>506</v>
      </c>
    </row>
    <row r="32" spans="12:33" x14ac:dyDescent="0.35">
      <c r="U32" s="97" t="s">
        <v>54</v>
      </c>
      <c r="V32" s="97" t="s">
        <v>88</v>
      </c>
      <c r="W32" s="97" t="s">
        <v>89</v>
      </c>
      <c r="X32" s="97" t="s">
        <v>397</v>
      </c>
      <c r="Y32" s="97" t="s">
        <v>398</v>
      </c>
      <c r="AA32" s="7" t="s">
        <v>234</v>
      </c>
      <c r="AB32" s="7" t="s">
        <v>322</v>
      </c>
      <c r="AD32" s="7" t="s">
        <v>234</v>
      </c>
      <c r="AE32" s="7" t="s">
        <v>322</v>
      </c>
      <c r="AF32" s="7" t="s">
        <v>405</v>
      </c>
      <c r="AG32" s="7" t="s">
        <v>792</v>
      </c>
    </row>
    <row r="33" spans="21:33" x14ac:dyDescent="0.35">
      <c r="U33" s="97" t="s">
        <v>54</v>
      </c>
      <c r="V33" s="97" t="s">
        <v>90</v>
      </c>
      <c r="W33" s="97" t="s">
        <v>91</v>
      </c>
      <c r="X33" s="97" t="s">
        <v>399</v>
      </c>
      <c r="Y33" s="97" t="s">
        <v>400</v>
      </c>
      <c r="AA33" s="7" t="s">
        <v>289</v>
      </c>
      <c r="AB33" s="7" t="s">
        <v>75</v>
      </c>
      <c r="AD33" s="7" t="s">
        <v>289</v>
      </c>
      <c r="AE33" s="7" t="s">
        <v>75</v>
      </c>
      <c r="AF33" s="7" t="s">
        <v>403</v>
      </c>
      <c r="AG33" s="7" t="s">
        <v>504</v>
      </c>
    </row>
    <row r="34" spans="21:33" x14ac:dyDescent="0.35">
      <c r="U34" s="97" t="s">
        <v>54</v>
      </c>
      <c r="V34" s="97" t="s">
        <v>92</v>
      </c>
      <c r="W34" s="97" t="s">
        <v>93</v>
      </c>
      <c r="X34" s="97" t="s">
        <v>401</v>
      </c>
      <c r="Y34" s="97" t="s">
        <v>402</v>
      </c>
      <c r="AA34" s="7" t="s">
        <v>267</v>
      </c>
      <c r="AB34" s="7" t="s">
        <v>300</v>
      </c>
      <c r="AD34" s="7" t="s">
        <v>267</v>
      </c>
      <c r="AE34" s="7" t="s">
        <v>300</v>
      </c>
      <c r="AF34" s="7" t="s">
        <v>401</v>
      </c>
      <c r="AG34" s="7" t="s">
        <v>550</v>
      </c>
    </row>
    <row r="35" spans="21:33" x14ac:dyDescent="0.35">
      <c r="U35" s="97" t="s">
        <v>54</v>
      </c>
      <c r="V35" s="97" t="s">
        <v>94</v>
      </c>
      <c r="W35" s="97" t="s">
        <v>95</v>
      </c>
      <c r="X35" s="97" t="s">
        <v>403</v>
      </c>
      <c r="Y35" s="97" t="s">
        <v>404</v>
      </c>
      <c r="AA35" s="7" t="s">
        <v>226</v>
      </c>
      <c r="AB35" s="7" t="s">
        <v>135</v>
      </c>
      <c r="AD35" s="7" t="s">
        <v>226</v>
      </c>
      <c r="AE35" s="7" t="s">
        <v>135</v>
      </c>
      <c r="AF35" s="7" t="s">
        <v>411</v>
      </c>
      <c r="AG35" s="7" t="s">
        <v>358</v>
      </c>
    </row>
    <row r="36" spans="21:33" x14ac:dyDescent="0.35">
      <c r="U36" s="97" t="s">
        <v>54</v>
      </c>
      <c r="V36" s="97" t="s">
        <v>94</v>
      </c>
      <c r="W36" s="97" t="s">
        <v>95</v>
      </c>
      <c r="X36" s="97" t="s">
        <v>405</v>
      </c>
      <c r="Y36" s="97" t="s">
        <v>406</v>
      </c>
      <c r="AA36" s="7" t="s">
        <v>210</v>
      </c>
      <c r="AB36" s="7" t="s">
        <v>183</v>
      </c>
      <c r="AD36" s="7" t="s">
        <v>210</v>
      </c>
      <c r="AE36" s="7" t="s">
        <v>183</v>
      </c>
      <c r="AF36" s="7" t="s">
        <v>413</v>
      </c>
      <c r="AG36" s="7" t="s">
        <v>480</v>
      </c>
    </row>
    <row r="37" spans="21:33" x14ac:dyDescent="0.35">
      <c r="U37" s="97" t="s">
        <v>54</v>
      </c>
      <c r="V37" s="97" t="s">
        <v>96</v>
      </c>
      <c r="W37" s="97" t="s">
        <v>97</v>
      </c>
      <c r="X37" s="97" t="s">
        <v>407</v>
      </c>
      <c r="Y37" s="97" t="s">
        <v>408</v>
      </c>
      <c r="AA37" s="7" t="s">
        <v>218</v>
      </c>
      <c r="AB37" s="7" t="s">
        <v>284</v>
      </c>
      <c r="AD37" s="7" t="s">
        <v>218</v>
      </c>
      <c r="AE37" s="7" t="s">
        <v>284</v>
      </c>
      <c r="AF37" s="7" t="s">
        <v>385</v>
      </c>
      <c r="AG37" s="7" t="s">
        <v>782</v>
      </c>
    </row>
    <row r="38" spans="21:33" x14ac:dyDescent="0.35">
      <c r="U38" s="97" t="s">
        <v>54</v>
      </c>
      <c r="V38" s="97" t="s">
        <v>96</v>
      </c>
      <c r="W38" s="97" t="s">
        <v>97</v>
      </c>
      <c r="X38" s="97" t="s">
        <v>409</v>
      </c>
      <c r="Y38" s="97" t="s">
        <v>410</v>
      </c>
      <c r="AA38" s="7" t="s">
        <v>299</v>
      </c>
      <c r="AB38" s="7" t="s">
        <v>286</v>
      </c>
      <c r="AD38" s="7" t="s">
        <v>299</v>
      </c>
      <c r="AE38" s="7" t="s">
        <v>286</v>
      </c>
      <c r="AF38" s="7" t="s">
        <v>387</v>
      </c>
      <c r="AG38" s="7" t="s">
        <v>470</v>
      </c>
    </row>
    <row r="39" spans="21:33" x14ac:dyDescent="0.35">
      <c r="U39" s="97" t="s">
        <v>54</v>
      </c>
      <c r="V39" s="97" t="s">
        <v>98</v>
      </c>
      <c r="W39" s="97" t="s">
        <v>99</v>
      </c>
      <c r="X39" s="97" t="s">
        <v>411</v>
      </c>
      <c r="Y39" s="97" t="s">
        <v>412</v>
      </c>
      <c r="AA39" s="7" t="s">
        <v>275</v>
      </c>
      <c r="AB39" s="7" t="s">
        <v>77</v>
      </c>
      <c r="AD39" s="7" t="s">
        <v>275</v>
      </c>
      <c r="AE39" s="7" t="s">
        <v>77</v>
      </c>
      <c r="AF39" s="7" t="s">
        <v>709</v>
      </c>
      <c r="AG39" s="7" t="s">
        <v>716</v>
      </c>
    </row>
    <row r="40" spans="21:33" x14ac:dyDescent="0.35">
      <c r="U40" s="97" t="s">
        <v>54</v>
      </c>
      <c r="V40" s="97" t="s">
        <v>98</v>
      </c>
      <c r="W40" s="97" t="s">
        <v>99</v>
      </c>
      <c r="X40" s="97" t="s">
        <v>413</v>
      </c>
      <c r="Y40" s="97" t="s">
        <v>414</v>
      </c>
      <c r="AA40" s="7" t="s">
        <v>269</v>
      </c>
      <c r="AB40" s="7" t="s">
        <v>302</v>
      </c>
      <c r="AD40" s="7" t="s">
        <v>269</v>
      </c>
      <c r="AE40" s="7" t="s">
        <v>302</v>
      </c>
      <c r="AF40" s="7" t="s">
        <v>697</v>
      </c>
      <c r="AG40" s="7" t="s">
        <v>446</v>
      </c>
    </row>
    <row r="41" spans="21:33" x14ac:dyDescent="0.35">
      <c r="U41" s="97" t="s">
        <v>54</v>
      </c>
      <c r="V41" s="97" t="s">
        <v>100</v>
      </c>
      <c r="W41" s="97" t="s">
        <v>101</v>
      </c>
      <c r="X41" s="97" t="s">
        <v>415</v>
      </c>
      <c r="Y41" s="97" t="s">
        <v>416</v>
      </c>
      <c r="AA41" s="7" t="s">
        <v>146</v>
      </c>
      <c r="AB41" s="7" t="s">
        <v>115</v>
      </c>
      <c r="AD41" s="7" t="s">
        <v>146</v>
      </c>
      <c r="AE41" s="7" t="s">
        <v>115</v>
      </c>
      <c r="AF41" s="7" t="s">
        <v>591</v>
      </c>
      <c r="AG41" s="7" t="s">
        <v>452</v>
      </c>
    </row>
    <row r="42" spans="21:33" x14ac:dyDescent="0.35">
      <c r="U42" s="97" t="s">
        <v>54</v>
      </c>
      <c r="V42" s="97" t="s">
        <v>102</v>
      </c>
      <c r="W42" s="97" t="s">
        <v>103</v>
      </c>
      <c r="X42" s="97" t="s">
        <v>417</v>
      </c>
      <c r="Y42" s="97" t="s">
        <v>418</v>
      </c>
      <c r="AA42" s="7" t="s">
        <v>154</v>
      </c>
      <c r="AB42" s="7" t="s">
        <v>79</v>
      </c>
      <c r="AD42" s="7" t="s">
        <v>154</v>
      </c>
      <c r="AE42" s="7" t="s">
        <v>79</v>
      </c>
      <c r="AF42" s="7" t="s">
        <v>527</v>
      </c>
      <c r="AG42" s="7" t="s">
        <v>432</v>
      </c>
    </row>
    <row r="43" spans="21:33" x14ac:dyDescent="0.35">
      <c r="U43" s="97" t="s">
        <v>28</v>
      </c>
      <c r="V43" s="97" t="s">
        <v>104</v>
      </c>
      <c r="W43" s="97" t="s">
        <v>105</v>
      </c>
      <c r="X43" s="97" t="s">
        <v>419</v>
      </c>
      <c r="Y43" s="97" t="s">
        <v>420</v>
      </c>
      <c r="AA43" s="7" t="s">
        <v>66</v>
      </c>
      <c r="AB43" s="7" t="s">
        <v>117</v>
      </c>
      <c r="AD43" s="7" t="s">
        <v>66</v>
      </c>
      <c r="AE43" s="7" t="s">
        <v>117</v>
      </c>
      <c r="AF43" s="7" t="s">
        <v>521</v>
      </c>
      <c r="AG43" s="7" t="s">
        <v>698</v>
      </c>
    </row>
    <row r="44" spans="21:33" x14ac:dyDescent="0.35">
      <c r="U44" s="97" t="s">
        <v>28</v>
      </c>
      <c r="V44" s="97" t="s">
        <v>106</v>
      </c>
      <c r="W44" s="97" t="s">
        <v>107</v>
      </c>
      <c r="X44" s="97" t="s">
        <v>421</v>
      </c>
      <c r="Y44" s="97" t="s">
        <v>422</v>
      </c>
      <c r="AA44" s="7" t="s">
        <v>106</v>
      </c>
      <c r="AB44" s="7" t="s">
        <v>81</v>
      </c>
      <c r="AD44" s="7" t="s">
        <v>106</v>
      </c>
      <c r="AE44" s="7" t="s">
        <v>81</v>
      </c>
      <c r="AF44" s="7" t="s">
        <v>501</v>
      </c>
      <c r="AG44" s="7" t="s">
        <v>394</v>
      </c>
    </row>
    <row r="45" spans="21:33" x14ac:dyDescent="0.35">
      <c r="U45" s="97" t="s">
        <v>28</v>
      </c>
      <c r="V45" s="97" t="s">
        <v>108</v>
      </c>
      <c r="W45" s="97" t="s">
        <v>109</v>
      </c>
      <c r="X45" s="97" t="s">
        <v>423</v>
      </c>
      <c r="Y45" s="97" t="s">
        <v>424</v>
      </c>
      <c r="AA45" s="7" t="s">
        <v>128</v>
      </c>
      <c r="AB45" s="7" t="s">
        <v>304</v>
      </c>
      <c r="AD45" s="7" t="s">
        <v>128</v>
      </c>
      <c r="AE45" s="7" t="s">
        <v>304</v>
      </c>
      <c r="AF45" s="7" t="s">
        <v>511</v>
      </c>
      <c r="AG45" s="7" t="s">
        <v>810</v>
      </c>
    </row>
    <row r="46" spans="21:33" x14ac:dyDescent="0.35">
      <c r="U46" s="97" t="s">
        <v>28</v>
      </c>
      <c r="V46" s="97" t="s">
        <v>110</v>
      </c>
      <c r="W46" s="97" t="s">
        <v>111</v>
      </c>
      <c r="X46" s="97" t="s">
        <v>425</v>
      </c>
      <c r="Y46" s="97" t="s">
        <v>426</v>
      </c>
      <c r="AA46" s="7" t="s">
        <v>168</v>
      </c>
      <c r="AB46" s="7" t="s">
        <v>221</v>
      </c>
      <c r="AD46" s="7" t="s">
        <v>168</v>
      </c>
      <c r="AE46" s="7" t="s">
        <v>221</v>
      </c>
      <c r="AF46" s="7" t="s">
        <v>513</v>
      </c>
      <c r="AG46" s="7" t="s">
        <v>794</v>
      </c>
    </row>
    <row r="47" spans="21:33" x14ac:dyDescent="0.35">
      <c r="U47" s="97" t="s">
        <v>28</v>
      </c>
      <c r="V47" s="97" t="s">
        <v>110</v>
      </c>
      <c r="W47" s="97" t="s">
        <v>111</v>
      </c>
      <c r="X47" s="97" t="s">
        <v>427</v>
      </c>
      <c r="Y47" s="97" t="s">
        <v>428</v>
      </c>
      <c r="AA47" s="7" t="s">
        <v>220</v>
      </c>
      <c r="AB47" s="7" t="s">
        <v>203</v>
      </c>
      <c r="AD47" s="7" t="s">
        <v>220</v>
      </c>
      <c r="AE47" s="7" t="s">
        <v>203</v>
      </c>
      <c r="AF47" s="7" t="s">
        <v>699</v>
      </c>
      <c r="AG47" s="7" t="s">
        <v>362</v>
      </c>
    </row>
    <row r="48" spans="21:33" x14ac:dyDescent="0.35">
      <c r="U48" s="97" t="s">
        <v>28</v>
      </c>
      <c r="V48" s="97" t="s">
        <v>112</v>
      </c>
      <c r="W48" s="97" t="s">
        <v>113</v>
      </c>
      <c r="X48" s="97" t="s">
        <v>429</v>
      </c>
      <c r="Y48" s="97" t="s">
        <v>430</v>
      </c>
      <c r="AA48" s="7" t="s">
        <v>238</v>
      </c>
      <c r="AB48" s="7" t="s">
        <v>83</v>
      </c>
      <c r="AD48" s="7" t="s">
        <v>238</v>
      </c>
      <c r="AE48" s="7" t="s">
        <v>83</v>
      </c>
      <c r="AF48" s="7" t="s">
        <v>615</v>
      </c>
      <c r="AG48" s="7" t="s">
        <v>668</v>
      </c>
    </row>
    <row r="49" spans="21:33" x14ac:dyDescent="0.35">
      <c r="U49" s="97" t="s">
        <v>28</v>
      </c>
      <c r="V49" s="97" t="s">
        <v>112</v>
      </c>
      <c r="W49" s="97" t="s">
        <v>113</v>
      </c>
      <c r="X49" s="97" t="s">
        <v>431</v>
      </c>
      <c r="Y49" s="97" t="s">
        <v>432</v>
      </c>
      <c r="AA49" s="7" t="s">
        <v>214</v>
      </c>
      <c r="AB49" s="7" t="s">
        <v>85</v>
      </c>
      <c r="AD49" s="7" t="s">
        <v>214</v>
      </c>
      <c r="AE49" s="7" t="s">
        <v>85</v>
      </c>
      <c r="AF49" s="7" t="s">
        <v>629</v>
      </c>
      <c r="AG49" s="7" t="s">
        <v>746</v>
      </c>
    </row>
    <row r="50" spans="21:33" x14ac:dyDescent="0.35">
      <c r="U50" s="97" t="s">
        <v>28</v>
      </c>
      <c r="V50" s="97" t="s">
        <v>112</v>
      </c>
      <c r="W50" s="97" t="s">
        <v>113</v>
      </c>
      <c r="X50" s="97" t="s">
        <v>433</v>
      </c>
      <c r="Y50" s="97" t="s">
        <v>434</v>
      </c>
      <c r="AA50" s="7" t="s">
        <v>271</v>
      </c>
      <c r="AB50" s="7" t="s">
        <v>259</v>
      </c>
      <c r="AD50" s="7" t="s">
        <v>271</v>
      </c>
      <c r="AE50" s="7" t="s">
        <v>259</v>
      </c>
      <c r="AF50" s="7" t="s">
        <v>467</v>
      </c>
      <c r="AG50" s="7" t="s">
        <v>692</v>
      </c>
    </row>
    <row r="51" spans="21:33" x14ac:dyDescent="0.35">
      <c r="U51" s="97" t="s">
        <v>28</v>
      </c>
      <c r="V51" s="97" t="s">
        <v>114</v>
      </c>
      <c r="W51" s="97" t="s">
        <v>115</v>
      </c>
      <c r="X51" s="97" t="s">
        <v>435</v>
      </c>
      <c r="Y51" s="97" t="s">
        <v>436</v>
      </c>
      <c r="AA51" s="7" t="s">
        <v>311</v>
      </c>
      <c r="AB51" s="7" t="s">
        <v>119</v>
      </c>
      <c r="AD51" s="7" t="s">
        <v>311</v>
      </c>
      <c r="AE51" s="7" t="s">
        <v>119</v>
      </c>
      <c r="AF51" s="7" t="s">
        <v>465</v>
      </c>
      <c r="AG51" s="7" t="s">
        <v>558</v>
      </c>
    </row>
    <row r="52" spans="21:33" x14ac:dyDescent="0.35">
      <c r="U52" s="97" t="s">
        <v>28</v>
      </c>
      <c r="V52" s="97" t="s">
        <v>114</v>
      </c>
      <c r="W52" s="97" t="s">
        <v>115</v>
      </c>
      <c r="X52" s="97" t="s">
        <v>437</v>
      </c>
      <c r="Y52" s="97" t="s">
        <v>438</v>
      </c>
      <c r="AA52" s="7" t="s">
        <v>126</v>
      </c>
      <c r="AB52" s="7" t="s">
        <v>87</v>
      </c>
      <c r="AD52" s="7" t="s">
        <v>126</v>
      </c>
      <c r="AE52" s="7" t="s">
        <v>87</v>
      </c>
      <c r="AF52" s="7" t="s">
        <v>435</v>
      </c>
      <c r="AG52" s="7" t="s">
        <v>724</v>
      </c>
    </row>
    <row r="53" spans="21:33" x14ac:dyDescent="0.35">
      <c r="U53" s="97" t="s">
        <v>28</v>
      </c>
      <c r="V53" s="97" t="s">
        <v>116</v>
      </c>
      <c r="W53" s="97" t="s">
        <v>117</v>
      </c>
      <c r="X53" s="97" t="s">
        <v>439</v>
      </c>
      <c r="Y53" s="97" t="s">
        <v>440</v>
      </c>
      <c r="AA53" s="7" t="s">
        <v>307</v>
      </c>
      <c r="AB53" s="7" t="s">
        <v>155</v>
      </c>
      <c r="AD53" s="7" t="s">
        <v>307</v>
      </c>
      <c r="AE53" s="7" t="s">
        <v>155</v>
      </c>
      <c r="AF53" s="7" t="s">
        <v>437</v>
      </c>
      <c r="AG53" s="7" t="s">
        <v>578</v>
      </c>
    </row>
    <row r="54" spans="21:33" x14ac:dyDescent="0.35">
      <c r="U54" s="97" t="s">
        <v>28</v>
      </c>
      <c r="V54" s="97" t="s">
        <v>118</v>
      </c>
      <c r="W54" s="97" t="s">
        <v>119</v>
      </c>
      <c r="X54" s="97" t="s">
        <v>441</v>
      </c>
      <c r="Y54" s="97" t="s">
        <v>442</v>
      </c>
      <c r="AA54" s="7" t="s">
        <v>309</v>
      </c>
      <c r="AB54" s="7" t="s">
        <v>89</v>
      </c>
      <c r="AD54" s="7" t="s">
        <v>309</v>
      </c>
      <c r="AE54" s="7" t="s">
        <v>89</v>
      </c>
      <c r="AF54" s="7" t="s">
        <v>419</v>
      </c>
      <c r="AG54" s="7" t="s">
        <v>606</v>
      </c>
    </row>
    <row r="55" spans="21:33" x14ac:dyDescent="0.35">
      <c r="U55" s="97" t="s">
        <v>28</v>
      </c>
      <c r="V55" s="97" t="s">
        <v>118</v>
      </c>
      <c r="W55" s="97" t="s">
        <v>119</v>
      </c>
      <c r="X55" s="97" t="s">
        <v>443</v>
      </c>
      <c r="Y55" s="97" t="s">
        <v>444</v>
      </c>
      <c r="AA55" s="7" t="s">
        <v>76</v>
      </c>
      <c r="AB55" s="7" t="s">
        <v>223</v>
      </c>
      <c r="AD55" s="7" t="s">
        <v>76</v>
      </c>
      <c r="AE55" s="7" t="s">
        <v>223</v>
      </c>
      <c r="AF55" s="7" t="s">
        <v>455</v>
      </c>
      <c r="AG55" s="7" t="s">
        <v>524</v>
      </c>
    </row>
    <row r="56" spans="21:33" x14ac:dyDescent="0.35">
      <c r="U56" s="97" t="s">
        <v>28</v>
      </c>
      <c r="V56" s="97" t="s">
        <v>120</v>
      </c>
      <c r="W56" s="97" t="s">
        <v>121</v>
      </c>
      <c r="X56" s="97" t="s">
        <v>445</v>
      </c>
      <c r="Y56" s="97" t="s">
        <v>446</v>
      </c>
      <c r="AA56" s="7" t="s">
        <v>86</v>
      </c>
      <c r="AB56" s="7" t="s">
        <v>324</v>
      </c>
      <c r="AD56" s="7" t="s">
        <v>86</v>
      </c>
      <c r="AE56" s="7" t="s">
        <v>324</v>
      </c>
      <c r="AF56" s="7" t="s">
        <v>641</v>
      </c>
      <c r="AG56" s="7" t="s">
        <v>436</v>
      </c>
    </row>
    <row r="57" spans="21:33" x14ac:dyDescent="0.35">
      <c r="U57" s="97" t="s">
        <v>28</v>
      </c>
      <c r="V57" s="97" t="s">
        <v>120</v>
      </c>
      <c r="W57" s="97" t="s">
        <v>121</v>
      </c>
      <c r="X57" s="97" t="s">
        <v>447</v>
      </c>
      <c r="Y57" s="97" t="s">
        <v>448</v>
      </c>
      <c r="AA57" s="7" t="s">
        <v>72</v>
      </c>
      <c r="AB57" s="7" t="s">
        <v>243</v>
      </c>
      <c r="AD57" s="7" t="s">
        <v>72</v>
      </c>
      <c r="AE57" s="7" t="s">
        <v>243</v>
      </c>
      <c r="AF57" s="7" t="s">
        <v>729</v>
      </c>
      <c r="AG57" s="7" t="s">
        <v>580</v>
      </c>
    </row>
    <row r="58" spans="21:33" x14ac:dyDescent="0.35">
      <c r="U58" s="97" t="s">
        <v>28</v>
      </c>
      <c r="V58" s="97" t="s">
        <v>120</v>
      </c>
      <c r="W58" s="97" t="s">
        <v>121</v>
      </c>
      <c r="X58" s="97" t="s">
        <v>449</v>
      </c>
      <c r="Y58" s="97" t="s">
        <v>450</v>
      </c>
      <c r="AA58" s="7" t="s">
        <v>96</v>
      </c>
      <c r="AB58" s="7" t="s">
        <v>326</v>
      </c>
      <c r="AD58" s="7" t="s">
        <v>96</v>
      </c>
      <c r="AE58" s="7" t="s">
        <v>326</v>
      </c>
      <c r="AF58" s="7" t="s">
        <v>731</v>
      </c>
      <c r="AG58" s="7" t="s">
        <v>644</v>
      </c>
    </row>
    <row r="59" spans="21:33" x14ac:dyDescent="0.35">
      <c r="U59" s="97" t="s">
        <v>28</v>
      </c>
      <c r="V59" s="97" t="s">
        <v>122</v>
      </c>
      <c r="W59" s="97" t="s">
        <v>123</v>
      </c>
      <c r="X59" s="97" t="s">
        <v>451</v>
      </c>
      <c r="Y59" s="97" t="s">
        <v>452</v>
      </c>
      <c r="AA59" s="7" t="s">
        <v>186</v>
      </c>
      <c r="AB59" s="7" t="s">
        <v>157</v>
      </c>
      <c r="AD59" s="7" t="s">
        <v>186</v>
      </c>
      <c r="AE59" s="7" t="s">
        <v>157</v>
      </c>
      <c r="AF59" s="7" t="s">
        <v>701</v>
      </c>
      <c r="AG59" s="7" t="s">
        <v>600</v>
      </c>
    </row>
    <row r="60" spans="21:33" x14ac:dyDescent="0.35">
      <c r="U60" s="97" t="s">
        <v>28</v>
      </c>
      <c r="V60" s="97" t="s">
        <v>122</v>
      </c>
      <c r="W60" s="97" t="s">
        <v>123</v>
      </c>
      <c r="X60" s="97" t="s">
        <v>453</v>
      </c>
      <c r="Y60" s="97" t="s">
        <v>454</v>
      </c>
      <c r="AA60" s="7" t="s">
        <v>178</v>
      </c>
      <c r="AB60" s="7" t="s">
        <v>225</v>
      </c>
      <c r="AD60" s="7" t="s">
        <v>178</v>
      </c>
      <c r="AE60" s="7" t="s">
        <v>225</v>
      </c>
      <c r="AF60" s="7" t="s">
        <v>633</v>
      </c>
      <c r="AG60" s="7" t="s">
        <v>412</v>
      </c>
    </row>
    <row r="61" spans="21:33" x14ac:dyDescent="0.35">
      <c r="U61" s="97" t="s">
        <v>28</v>
      </c>
      <c r="V61" s="97" t="s">
        <v>124</v>
      </c>
      <c r="W61" s="97" t="s">
        <v>125</v>
      </c>
      <c r="X61" s="97" t="s">
        <v>455</v>
      </c>
      <c r="Y61" s="97" t="s">
        <v>456</v>
      </c>
      <c r="AA61" s="7" t="s">
        <v>122</v>
      </c>
      <c r="AB61" s="7" t="s">
        <v>121</v>
      </c>
      <c r="AD61" s="7" t="s">
        <v>122</v>
      </c>
      <c r="AE61" s="7" t="s">
        <v>121</v>
      </c>
      <c r="AF61" s="7" t="s">
        <v>613</v>
      </c>
      <c r="AG61" s="7" t="s">
        <v>370</v>
      </c>
    </row>
    <row r="62" spans="21:33" x14ac:dyDescent="0.35">
      <c r="U62" s="97" t="s">
        <v>28</v>
      </c>
      <c r="V62" s="97" t="s">
        <v>126</v>
      </c>
      <c r="W62" s="97" t="s">
        <v>127</v>
      </c>
      <c r="X62" s="97" t="s">
        <v>457</v>
      </c>
      <c r="Y62" s="97" t="s">
        <v>458</v>
      </c>
      <c r="AA62" s="7" t="s">
        <v>152</v>
      </c>
      <c r="AB62" s="7" t="s">
        <v>227</v>
      </c>
      <c r="AD62" s="7" t="s">
        <v>152</v>
      </c>
      <c r="AE62" s="7" t="s">
        <v>227</v>
      </c>
      <c r="AF62" s="7" t="s">
        <v>625</v>
      </c>
      <c r="AG62" s="7" t="s">
        <v>758</v>
      </c>
    </row>
    <row r="63" spans="21:33" x14ac:dyDescent="0.35">
      <c r="U63" s="97" t="s">
        <v>28</v>
      </c>
      <c r="V63" s="97" t="s">
        <v>126</v>
      </c>
      <c r="W63" s="97" t="s">
        <v>127</v>
      </c>
      <c r="X63" s="97" t="s">
        <v>459</v>
      </c>
      <c r="Y63" s="97" t="s">
        <v>460</v>
      </c>
      <c r="AA63" s="7" t="s">
        <v>150</v>
      </c>
      <c r="AB63" s="7" t="s">
        <v>91</v>
      </c>
      <c r="AD63" s="7" t="s">
        <v>150</v>
      </c>
      <c r="AE63" s="7" t="s">
        <v>91</v>
      </c>
      <c r="AF63" s="7" t="s">
        <v>623</v>
      </c>
      <c r="AG63" s="7" t="s">
        <v>586</v>
      </c>
    </row>
    <row r="64" spans="21:33" x14ac:dyDescent="0.35">
      <c r="U64" s="97" t="s">
        <v>28</v>
      </c>
      <c r="V64" s="97" t="s">
        <v>126</v>
      </c>
      <c r="W64" s="97" t="s">
        <v>127</v>
      </c>
      <c r="X64" s="97" t="s">
        <v>461</v>
      </c>
      <c r="Y64" s="97" t="s">
        <v>462</v>
      </c>
      <c r="AA64" s="7" t="s">
        <v>82</v>
      </c>
      <c r="AB64" s="7" t="s">
        <v>229</v>
      </c>
      <c r="AD64" s="7" t="s">
        <v>82</v>
      </c>
      <c r="AE64" s="7" t="s">
        <v>229</v>
      </c>
      <c r="AF64" s="7" t="s">
        <v>745</v>
      </c>
      <c r="AG64" s="7" t="s">
        <v>428</v>
      </c>
    </row>
    <row r="65" spans="21:33" x14ac:dyDescent="0.35">
      <c r="U65" s="97" t="s">
        <v>28</v>
      </c>
      <c r="V65" s="97" t="s">
        <v>128</v>
      </c>
      <c r="W65" s="97" t="s">
        <v>129</v>
      </c>
      <c r="X65" s="97" t="s">
        <v>463</v>
      </c>
      <c r="Y65" s="97" t="s">
        <v>464</v>
      </c>
      <c r="AA65" s="7" t="s">
        <v>172</v>
      </c>
      <c r="AB65" s="7" t="s">
        <v>288</v>
      </c>
      <c r="AD65" s="7" t="s">
        <v>172</v>
      </c>
      <c r="AE65" s="7" t="s">
        <v>288</v>
      </c>
      <c r="AF65" s="7" t="s">
        <v>747</v>
      </c>
      <c r="AG65" s="7" t="s">
        <v>440</v>
      </c>
    </row>
    <row r="66" spans="21:33" x14ac:dyDescent="0.35">
      <c r="U66" s="97" t="s">
        <v>28</v>
      </c>
      <c r="V66" s="97" t="s">
        <v>130</v>
      </c>
      <c r="W66" s="97" t="s">
        <v>131</v>
      </c>
      <c r="X66" s="97" t="s">
        <v>465</v>
      </c>
      <c r="Y66" s="97" t="s">
        <v>466</v>
      </c>
      <c r="AA66" s="7" t="s">
        <v>279</v>
      </c>
      <c r="AB66" s="7" t="s">
        <v>137</v>
      </c>
      <c r="AD66" s="7" t="s">
        <v>279</v>
      </c>
      <c r="AE66" s="7" t="s">
        <v>137</v>
      </c>
      <c r="AF66" s="7" t="s">
        <v>711</v>
      </c>
      <c r="AG66" s="7" t="s">
        <v>626</v>
      </c>
    </row>
    <row r="67" spans="21:33" x14ac:dyDescent="0.35">
      <c r="U67" s="97" t="s">
        <v>28</v>
      </c>
      <c r="V67" s="97" t="s">
        <v>130</v>
      </c>
      <c r="W67" s="97" t="s">
        <v>131</v>
      </c>
      <c r="X67" s="97" t="s">
        <v>467</v>
      </c>
      <c r="Y67" s="97" t="s">
        <v>468</v>
      </c>
      <c r="AA67" s="7" t="s">
        <v>194</v>
      </c>
      <c r="AB67" s="7" t="s">
        <v>93</v>
      </c>
      <c r="AD67" s="7" t="s">
        <v>194</v>
      </c>
      <c r="AE67" s="7" t="s">
        <v>93</v>
      </c>
      <c r="AF67" s="7" t="s">
        <v>705</v>
      </c>
      <c r="AG67" s="7" t="s">
        <v>628</v>
      </c>
    </row>
    <row r="68" spans="21:33" x14ac:dyDescent="0.35">
      <c r="U68" s="97" t="s">
        <v>30</v>
      </c>
      <c r="V68" s="97" t="s">
        <v>132</v>
      </c>
      <c r="W68" s="97" t="s">
        <v>133</v>
      </c>
      <c r="X68" s="97" t="s">
        <v>469</v>
      </c>
      <c r="Y68" s="97" t="s">
        <v>470</v>
      </c>
      <c r="AA68" s="7" t="s">
        <v>102</v>
      </c>
      <c r="AB68" s="7" t="s">
        <v>139</v>
      </c>
      <c r="AD68" s="7" t="s">
        <v>102</v>
      </c>
      <c r="AE68" s="7" t="s">
        <v>139</v>
      </c>
      <c r="AF68" s="7" t="s">
        <v>703</v>
      </c>
      <c r="AG68" s="7" t="s">
        <v>760</v>
      </c>
    </row>
    <row r="69" spans="21:33" x14ac:dyDescent="0.35">
      <c r="U69" s="97" t="s">
        <v>30</v>
      </c>
      <c r="V69" s="97" t="s">
        <v>132</v>
      </c>
      <c r="W69" s="97" t="s">
        <v>133</v>
      </c>
      <c r="X69" s="97" t="s">
        <v>471</v>
      </c>
      <c r="Y69" s="97" t="s">
        <v>472</v>
      </c>
      <c r="AA69" s="7" t="s">
        <v>190</v>
      </c>
      <c r="AB69" s="7" t="s">
        <v>205</v>
      </c>
      <c r="AD69" s="7" t="s">
        <v>190</v>
      </c>
      <c r="AE69" s="7" t="s">
        <v>205</v>
      </c>
      <c r="AF69" s="7" t="s">
        <v>499</v>
      </c>
      <c r="AG69" s="7" t="s">
        <v>786</v>
      </c>
    </row>
    <row r="70" spans="21:33" x14ac:dyDescent="0.35">
      <c r="U70" s="97" t="s">
        <v>30</v>
      </c>
      <c r="V70" s="97" t="s">
        <v>132</v>
      </c>
      <c r="W70" s="97" t="s">
        <v>133</v>
      </c>
      <c r="X70" s="97" t="s">
        <v>473</v>
      </c>
      <c r="Y70" s="97" t="s">
        <v>474</v>
      </c>
      <c r="AA70" s="7" t="s">
        <v>200</v>
      </c>
      <c r="AB70" s="7" t="s">
        <v>265</v>
      </c>
      <c r="AD70" s="7" t="s">
        <v>200</v>
      </c>
      <c r="AE70" s="7" t="s">
        <v>265</v>
      </c>
      <c r="AF70" s="7" t="s">
        <v>509</v>
      </c>
      <c r="AG70" s="7" t="s">
        <v>602</v>
      </c>
    </row>
    <row r="71" spans="21:33" x14ac:dyDescent="0.35">
      <c r="U71" s="97" t="s">
        <v>30</v>
      </c>
      <c r="V71" s="97" t="s">
        <v>134</v>
      </c>
      <c r="W71" s="97" t="s">
        <v>135</v>
      </c>
      <c r="X71" s="97" t="s">
        <v>475</v>
      </c>
      <c r="Y71" s="97" t="s">
        <v>476</v>
      </c>
      <c r="AA71" s="7" t="s">
        <v>182</v>
      </c>
      <c r="AB71" s="7" t="s">
        <v>123</v>
      </c>
      <c r="AD71" s="7" t="s">
        <v>182</v>
      </c>
      <c r="AE71" s="7" t="s">
        <v>123</v>
      </c>
      <c r="AF71" s="7" t="s">
        <v>337</v>
      </c>
      <c r="AG71" s="7" t="s">
        <v>596</v>
      </c>
    </row>
    <row r="72" spans="21:33" x14ac:dyDescent="0.35">
      <c r="U72" s="97" t="s">
        <v>30</v>
      </c>
      <c r="V72" s="97" t="s">
        <v>134</v>
      </c>
      <c r="W72" s="97" t="s">
        <v>135</v>
      </c>
      <c r="X72" s="97" t="s">
        <v>477</v>
      </c>
      <c r="Y72" s="97" t="s">
        <v>478</v>
      </c>
      <c r="AA72" s="7" t="s">
        <v>228</v>
      </c>
      <c r="AB72" s="7" t="s">
        <v>141</v>
      </c>
      <c r="AD72" s="7" t="s">
        <v>228</v>
      </c>
      <c r="AE72" s="7" t="s">
        <v>141</v>
      </c>
      <c r="AF72" s="7" t="s">
        <v>339</v>
      </c>
      <c r="AG72" s="7" t="s">
        <v>766</v>
      </c>
    </row>
    <row r="73" spans="21:33" x14ac:dyDescent="0.35">
      <c r="U73" s="97" t="s">
        <v>30</v>
      </c>
      <c r="V73" s="97" t="s">
        <v>136</v>
      </c>
      <c r="W73" s="97" t="s">
        <v>137</v>
      </c>
      <c r="X73" s="97" t="s">
        <v>479</v>
      </c>
      <c r="Y73" s="97" t="s">
        <v>480</v>
      </c>
      <c r="AA73" s="7" t="s">
        <v>246</v>
      </c>
      <c r="AB73" s="7" t="s">
        <v>171</v>
      </c>
      <c r="AD73" s="7" t="s">
        <v>246</v>
      </c>
      <c r="AE73" s="7" t="s">
        <v>171</v>
      </c>
      <c r="AF73" s="7" t="s">
        <v>421</v>
      </c>
      <c r="AG73" s="7" t="s">
        <v>338</v>
      </c>
    </row>
    <row r="74" spans="21:33" x14ac:dyDescent="0.35">
      <c r="U74" s="97" t="s">
        <v>30</v>
      </c>
      <c r="V74" s="97" t="s">
        <v>136</v>
      </c>
      <c r="W74" s="97" t="s">
        <v>137</v>
      </c>
      <c r="X74" s="97" t="s">
        <v>481</v>
      </c>
      <c r="Y74" s="97" t="s">
        <v>482</v>
      </c>
      <c r="AA74" s="7" t="s">
        <v>240</v>
      </c>
      <c r="AB74" s="7" t="s">
        <v>306</v>
      </c>
      <c r="AD74" s="7" t="s">
        <v>240</v>
      </c>
      <c r="AE74" s="7" t="s">
        <v>306</v>
      </c>
      <c r="AF74" s="7" t="s">
        <v>463</v>
      </c>
      <c r="AG74" s="7" t="s">
        <v>380</v>
      </c>
    </row>
    <row r="75" spans="21:33" x14ac:dyDescent="0.35">
      <c r="U75" s="97" t="s">
        <v>30</v>
      </c>
      <c r="V75" s="97" t="s">
        <v>138</v>
      </c>
      <c r="W75" s="97" t="s">
        <v>139</v>
      </c>
      <c r="X75" s="97" t="s">
        <v>483</v>
      </c>
      <c r="Y75" s="97" t="s">
        <v>484</v>
      </c>
      <c r="AA75" s="7" t="s">
        <v>250</v>
      </c>
      <c r="AB75" s="7" t="s">
        <v>245</v>
      </c>
      <c r="AD75" s="7" t="s">
        <v>250</v>
      </c>
      <c r="AE75" s="7" t="s">
        <v>245</v>
      </c>
      <c r="AF75" s="7" t="s">
        <v>529</v>
      </c>
      <c r="AG75" s="7" t="s">
        <v>382</v>
      </c>
    </row>
    <row r="76" spans="21:33" x14ac:dyDescent="0.35">
      <c r="U76" s="97" t="s">
        <v>30</v>
      </c>
      <c r="V76" s="97" t="s">
        <v>140</v>
      </c>
      <c r="W76" s="97" t="s">
        <v>141</v>
      </c>
      <c r="X76" s="97" t="s">
        <v>485</v>
      </c>
      <c r="Y76" s="97" t="s">
        <v>486</v>
      </c>
      <c r="AA76" s="7" t="s">
        <v>285</v>
      </c>
      <c r="AB76" s="7" t="s">
        <v>268</v>
      </c>
      <c r="AD76" s="7" t="s">
        <v>285</v>
      </c>
      <c r="AE76" s="7" t="s">
        <v>268</v>
      </c>
      <c r="AF76" s="7" t="s">
        <v>627</v>
      </c>
      <c r="AG76" s="7" t="s">
        <v>534</v>
      </c>
    </row>
    <row r="77" spans="21:33" x14ac:dyDescent="0.35">
      <c r="U77" s="97" t="s">
        <v>30</v>
      </c>
      <c r="V77" s="97" t="s">
        <v>140</v>
      </c>
      <c r="W77" s="97" t="s">
        <v>141</v>
      </c>
      <c r="X77" s="97" t="s">
        <v>487</v>
      </c>
      <c r="Y77" s="97" t="s">
        <v>488</v>
      </c>
      <c r="AA77" s="7" t="s">
        <v>301</v>
      </c>
      <c r="AB77" s="7" t="s">
        <v>308</v>
      </c>
      <c r="AD77" s="7" t="s">
        <v>301</v>
      </c>
      <c r="AE77" s="7" t="s">
        <v>308</v>
      </c>
      <c r="AF77" s="7" t="s">
        <v>649</v>
      </c>
      <c r="AG77" s="7" t="s">
        <v>386</v>
      </c>
    </row>
    <row r="78" spans="21:33" x14ac:dyDescent="0.35">
      <c r="U78" s="97" t="s">
        <v>30</v>
      </c>
      <c r="V78" s="97" t="s">
        <v>142</v>
      </c>
      <c r="W78" s="97" t="s">
        <v>143</v>
      </c>
      <c r="X78" s="97" t="s">
        <v>489</v>
      </c>
      <c r="Y78" s="97" t="s">
        <v>490</v>
      </c>
      <c r="AA78" s="7" t="s">
        <v>317</v>
      </c>
      <c r="AB78" s="7" t="s">
        <v>328</v>
      </c>
      <c r="AD78" s="7" t="s">
        <v>317</v>
      </c>
      <c r="AE78" s="7" t="s">
        <v>328</v>
      </c>
      <c r="AF78" s="7" t="s">
        <v>617</v>
      </c>
      <c r="AG78" s="7" t="s">
        <v>442</v>
      </c>
    </row>
    <row r="79" spans="21:33" x14ac:dyDescent="0.35">
      <c r="U79" s="97" t="s">
        <v>30</v>
      </c>
      <c r="V79" s="97" t="s">
        <v>142</v>
      </c>
      <c r="W79" s="97" t="s">
        <v>143</v>
      </c>
      <c r="X79" s="97" t="s">
        <v>491</v>
      </c>
      <c r="Y79" s="97" t="s">
        <v>492</v>
      </c>
      <c r="AA79" s="7" t="s">
        <v>188</v>
      </c>
      <c r="AB79" s="7" t="s">
        <v>310</v>
      </c>
      <c r="AD79" s="7" t="s">
        <v>188</v>
      </c>
      <c r="AE79" s="7" t="s">
        <v>310</v>
      </c>
      <c r="AF79" s="7" t="s">
        <v>707</v>
      </c>
      <c r="AG79" s="7" t="s">
        <v>612</v>
      </c>
    </row>
    <row r="80" spans="21:33" x14ac:dyDescent="0.35">
      <c r="U80" s="97" t="s">
        <v>30</v>
      </c>
      <c r="V80" s="97" t="s">
        <v>142</v>
      </c>
      <c r="W80" s="97" t="s">
        <v>143</v>
      </c>
      <c r="X80" s="97" t="s">
        <v>493</v>
      </c>
      <c r="Y80" s="97" t="s">
        <v>494</v>
      </c>
      <c r="AA80" s="7" t="s">
        <v>136</v>
      </c>
      <c r="AB80" s="7" t="s">
        <v>270</v>
      </c>
      <c r="AD80" s="7" t="s">
        <v>136</v>
      </c>
      <c r="AE80" s="7" t="s">
        <v>270</v>
      </c>
      <c r="AF80" s="7" t="s">
        <v>769</v>
      </c>
      <c r="AG80" s="7" t="s">
        <v>512</v>
      </c>
    </row>
    <row r="81" spans="21:33" x14ac:dyDescent="0.35">
      <c r="U81" s="97" t="s">
        <v>30</v>
      </c>
      <c r="V81" s="97" t="s">
        <v>142</v>
      </c>
      <c r="W81" s="97" t="s">
        <v>143</v>
      </c>
      <c r="X81" s="97" t="s">
        <v>495</v>
      </c>
      <c r="Y81" s="97" t="s">
        <v>496</v>
      </c>
      <c r="AA81" s="7" t="s">
        <v>202</v>
      </c>
      <c r="AB81" s="7" t="s">
        <v>272</v>
      </c>
      <c r="AD81" s="7" t="s">
        <v>202</v>
      </c>
      <c r="AE81" s="7" t="s">
        <v>272</v>
      </c>
      <c r="AF81" s="7" t="s">
        <v>459</v>
      </c>
      <c r="AG81" s="7" t="s">
        <v>608</v>
      </c>
    </row>
    <row r="82" spans="21:33" x14ac:dyDescent="0.35">
      <c r="U82" s="97" t="s">
        <v>30</v>
      </c>
      <c r="V82" s="97" t="s">
        <v>144</v>
      </c>
      <c r="W82" s="97" t="s">
        <v>145</v>
      </c>
      <c r="X82" s="97" t="s">
        <v>497</v>
      </c>
      <c r="Y82" s="97" t="s">
        <v>498</v>
      </c>
      <c r="AA82" s="7" t="s">
        <v>204</v>
      </c>
      <c r="AB82" s="7" t="s">
        <v>95</v>
      </c>
      <c r="AD82" s="7" t="s">
        <v>204</v>
      </c>
      <c r="AE82" s="7" t="s">
        <v>95</v>
      </c>
      <c r="AF82" s="7" t="s">
        <v>457</v>
      </c>
      <c r="AG82" s="7" t="s">
        <v>620</v>
      </c>
    </row>
    <row r="83" spans="21:33" x14ac:dyDescent="0.35">
      <c r="U83" s="97" t="s">
        <v>32</v>
      </c>
      <c r="V83" s="97" t="s">
        <v>146</v>
      </c>
      <c r="W83" s="97" t="s">
        <v>147</v>
      </c>
      <c r="X83" s="97" t="s">
        <v>499</v>
      </c>
      <c r="Y83" s="97" t="s">
        <v>500</v>
      </c>
      <c r="AA83" s="7" t="s">
        <v>291</v>
      </c>
      <c r="AB83" s="7" t="s">
        <v>159</v>
      </c>
      <c r="AD83" s="7" t="s">
        <v>291</v>
      </c>
      <c r="AE83" s="7" t="s">
        <v>159</v>
      </c>
      <c r="AF83" s="7" t="s">
        <v>461</v>
      </c>
      <c r="AG83" s="7" t="s">
        <v>510</v>
      </c>
    </row>
    <row r="84" spans="21:33" x14ac:dyDescent="0.35">
      <c r="U84" s="97" t="s">
        <v>32</v>
      </c>
      <c r="V84" s="97" t="s">
        <v>148</v>
      </c>
      <c r="W84" s="97" t="s">
        <v>149</v>
      </c>
      <c r="X84" s="97" t="s">
        <v>501</v>
      </c>
      <c r="Y84" s="97" t="s">
        <v>502</v>
      </c>
      <c r="AA84" s="7" t="s">
        <v>112</v>
      </c>
      <c r="AB84" s="7" t="s">
        <v>330</v>
      </c>
      <c r="AD84" s="7" t="s">
        <v>112</v>
      </c>
      <c r="AE84" s="7" t="s">
        <v>330</v>
      </c>
      <c r="AF84" s="7" t="s">
        <v>761</v>
      </c>
      <c r="AG84" s="7" t="s">
        <v>630</v>
      </c>
    </row>
    <row r="85" spans="21:33" x14ac:dyDescent="0.35">
      <c r="U85" s="97" t="s">
        <v>32</v>
      </c>
      <c r="V85" s="97" t="s">
        <v>150</v>
      </c>
      <c r="W85" s="97" t="s">
        <v>151</v>
      </c>
      <c r="X85" s="97" t="s">
        <v>503</v>
      </c>
      <c r="Y85" s="97" t="s">
        <v>504</v>
      </c>
      <c r="AA85" s="7" t="s">
        <v>90</v>
      </c>
      <c r="AB85" s="7" t="s">
        <v>290</v>
      </c>
      <c r="AD85" s="7" t="s">
        <v>90</v>
      </c>
      <c r="AE85" s="7" t="s">
        <v>290</v>
      </c>
      <c r="AF85" s="7" t="s">
        <v>763</v>
      </c>
      <c r="AG85" s="7" t="s">
        <v>508</v>
      </c>
    </row>
    <row r="86" spans="21:33" x14ac:dyDescent="0.35">
      <c r="U86" s="97" t="s">
        <v>32</v>
      </c>
      <c r="V86" s="97" t="s">
        <v>152</v>
      </c>
      <c r="W86" s="97" t="s">
        <v>153</v>
      </c>
      <c r="X86" s="97" t="s">
        <v>505</v>
      </c>
      <c r="Y86" s="97" t="s">
        <v>506</v>
      </c>
      <c r="AA86" s="7" t="s">
        <v>325</v>
      </c>
      <c r="AB86" s="7" t="s">
        <v>247</v>
      </c>
      <c r="AD86" s="7" t="s">
        <v>325</v>
      </c>
      <c r="AE86" s="7" t="s">
        <v>247</v>
      </c>
      <c r="AF86" s="7" t="s">
        <v>767</v>
      </c>
      <c r="AG86" s="7" t="s">
        <v>796</v>
      </c>
    </row>
    <row r="87" spans="21:33" x14ac:dyDescent="0.35">
      <c r="U87" s="97" t="s">
        <v>32</v>
      </c>
      <c r="V87" s="97" t="s">
        <v>152</v>
      </c>
      <c r="W87" s="97" t="s">
        <v>153</v>
      </c>
      <c r="X87" s="97" t="s">
        <v>507</v>
      </c>
      <c r="Y87" s="97" t="s">
        <v>508</v>
      </c>
      <c r="AA87" s="7" t="s">
        <v>327</v>
      </c>
      <c r="AB87" s="7" t="s">
        <v>292</v>
      </c>
      <c r="AD87" s="7" t="s">
        <v>327</v>
      </c>
      <c r="AE87" s="7" t="s">
        <v>292</v>
      </c>
      <c r="AF87" s="7" t="s">
        <v>765</v>
      </c>
      <c r="AG87" s="7" t="s">
        <v>654</v>
      </c>
    </row>
    <row r="88" spans="21:33" x14ac:dyDescent="0.35">
      <c r="U88" s="97" t="s">
        <v>32</v>
      </c>
      <c r="V88" s="97" t="s">
        <v>154</v>
      </c>
      <c r="W88" s="97" t="s">
        <v>155</v>
      </c>
      <c r="X88" s="97" t="s">
        <v>509</v>
      </c>
      <c r="Y88" s="97" t="s">
        <v>510</v>
      </c>
      <c r="AA88" s="7" t="s">
        <v>180</v>
      </c>
      <c r="AB88" s="7" t="s">
        <v>185</v>
      </c>
      <c r="AD88" s="7" t="s">
        <v>180</v>
      </c>
      <c r="AE88" s="7" t="s">
        <v>185</v>
      </c>
      <c r="AF88" s="7" t="s">
        <v>365</v>
      </c>
      <c r="AG88" s="7" t="s">
        <v>656</v>
      </c>
    </row>
    <row r="89" spans="21:33" x14ac:dyDescent="0.35">
      <c r="U89" s="97" t="s">
        <v>32</v>
      </c>
      <c r="V89" s="97" t="s">
        <v>156</v>
      </c>
      <c r="W89" s="97" t="s">
        <v>157</v>
      </c>
      <c r="X89" s="97" t="s">
        <v>511</v>
      </c>
      <c r="Y89" s="97" t="s">
        <v>512</v>
      </c>
      <c r="AA89" s="7" t="s">
        <v>158</v>
      </c>
      <c r="AB89" s="7" t="s">
        <v>125</v>
      </c>
      <c r="AD89" s="7" t="s">
        <v>158</v>
      </c>
      <c r="AE89" s="7" t="s">
        <v>125</v>
      </c>
      <c r="AF89" s="7" t="s">
        <v>367</v>
      </c>
      <c r="AG89" s="7" t="s">
        <v>592</v>
      </c>
    </row>
    <row r="90" spans="21:33" x14ac:dyDescent="0.35">
      <c r="U90" s="97" t="s">
        <v>32</v>
      </c>
      <c r="V90" s="97" t="s">
        <v>156</v>
      </c>
      <c r="W90" s="97" t="s">
        <v>157</v>
      </c>
      <c r="X90" s="97" t="s">
        <v>513</v>
      </c>
      <c r="Y90" s="97" t="s">
        <v>514</v>
      </c>
      <c r="AA90" s="7" t="s">
        <v>224</v>
      </c>
      <c r="AB90" s="7" t="s">
        <v>127</v>
      </c>
      <c r="AD90" s="7" t="s">
        <v>224</v>
      </c>
      <c r="AE90" s="7" t="s">
        <v>127</v>
      </c>
      <c r="AF90" s="7" t="s">
        <v>391</v>
      </c>
      <c r="AG90" s="7" t="s">
        <v>802</v>
      </c>
    </row>
    <row r="91" spans="21:33" x14ac:dyDescent="0.35">
      <c r="U91" s="97" t="s">
        <v>32</v>
      </c>
      <c r="V91" s="97" t="s">
        <v>158</v>
      </c>
      <c r="W91" s="97" t="s">
        <v>159</v>
      </c>
      <c r="X91" s="97" t="s">
        <v>515</v>
      </c>
      <c r="Y91" s="97" t="s">
        <v>516</v>
      </c>
      <c r="AA91" s="7" t="s">
        <v>70</v>
      </c>
      <c r="AB91" s="7" t="s">
        <v>173</v>
      </c>
      <c r="AD91" s="7" t="s">
        <v>70</v>
      </c>
      <c r="AE91" s="7" t="s">
        <v>173</v>
      </c>
      <c r="AF91" s="7" t="s">
        <v>389</v>
      </c>
      <c r="AG91" s="7" t="s">
        <v>634</v>
      </c>
    </row>
    <row r="92" spans="21:33" x14ac:dyDescent="0.35">
      <c r="U92" s="97" t="s">
        <v>32</v>
      </c>
      <c r="V92" s="97" t="s">
        <v>160</v>
      </c>
      <c r="W92" s="97" t="s">
        <v>161</v>
      </c>
      <c r="X92" s="97" t="s">
        <v>517</v>
      </c>
      <c r="Y92" s="97" t="s">
        <v>518</v>
      </c>
      <c r="AA92" s="7" t="s">
        <v>232</v>
      </c>
      <c r="AB92" s="7" t="s">
        <v>175</v>
      </c>
      <c r="AD92" s="7" t="s">
        <v>232</v>
      </c>
      <c r="AE92" s="7" t="s">
        <v>175</v>
      </c>
      <c r="AF92" s="7" t="s">
        <v>357</v>
      </c>
      <c r="AG92" s="7" t="s">
        <v>434</v>
      </c>
    </row>
    <row r="93" spans="21:33" x14ac:dyDescent="0.35">
      <c r="U93" s="97" t="s">
        <v>32</v>
      </c>
      <c r="V93" s="97" t="s">
        <v>160</v>
      </c>
      <c r="W93" s="97" t="s">
        <v>161</v>
      </c>
      <c r="X93" s="97" t="s">
        <v>519</v>
      </c>
      <c r="Y93" s="97" t="s">
        <v>520</v>
      </c>
      <c r="AA93" s="7" t="s">
        <v>78</v>
      </c>
      <c r="AB93" s="7" t="s">
        <v>143</v>
      </c>
      <c r="AD93" s="7" t="s">
        <v>78</v>
      </c>
      <c r="AE93" s="7" t="s">
        <v>143</v>
      </c>
      <c r="AF93" s="7" t="s">
        <v>359</v>
      </c>
      <c r="AG93" s="7" t="s">
        <v>400</v>
      </c>
    </row>
    <row r="94" spans="21:33" x14ac:dyDescent="0.35">
      <c r="U94" s="97" t="s">
        <v>32</v>
      </c>
      <c r="V94" s="97" t="s">
        <v>162</v>
      </c>
      <c r="W94" s="97" t="s">
        <v>163</v>
      </c>
      <c r="X94" s="97" t="s">
        <v>521</v>
      </c>
      <c r="Y94" s="97" t="s">
        <v>522</v>
      </c>
      <c r="AA94" s="7" t="s">
        <v>134</v>
      </c>
      <c r="AB94" s="7" t="s">
        <v>187</v>
      </c>
      <c r="AD94" s="7" t="s">
        <v>134</v>
      </c>
      <c r="AE94" s="7" t="s">
        <v>187</v>
      </c>
      <c r="AF94" s="7" t="s">
        <v>407</v>
      </c>
      <c r="AG94" s="7" t="s">
        <v>414</v>
      </c>
    </row>
    <row r="95" spans="21:33" x14ac:dyDescent="0.35">
      <c r="U95" s="97" t="s">
        <v>32</v>
      </c>
      <c r="V95" s="97" t="s">
        <v>164</v>
      </c>
      <c r="W95" s="97" t="s">
        <v>165</v>
      </c>
      <c r="X95" s="97" t="s">
        <v>523</v>
      </c>
      <c r="Y95" s="97" t="s">
        <v>524</v>
      </c>
      <c r="AA95" s="7" t="s">
        <v>118</v>
      </c>
      <c r="AB95" s="7" t="s">
        <v>231</v>
      </c>
      <c r="AD95" s="7" t="s">
        <v>118</v>
      </c>
      <c r="AE95" s="7" t="s">
        <v>231</v>
      </c>
      <c r="AF95" s="7" t="s">
        <v>409</v>
      </c>
      <c r="AG95" s="7" t="s">
        <v>710</v>
      </c>
    </row>
    <row r="96" spans="21:33" x14ac:dyDescent="0.35">
      <c r="U96" s="97" t="s">
        <v>32</v>
      </c>
      <c r="V96" s="97" t="s">
        <v>164</v>
      </c>
      <c r="W96" s="97" t="s">
        <v>165</v>
      </c>
      <c r="X96" s="97" t="s">
        <v>525</v>
      </c>
      <c r="Y96" s="97" t="s">
        <v>526</v>
      </c>
      <c r="AA96" s="7" t="s">
        <v>252</v>
      </c>
      <c r="AB96" s="7" t="s">
        <v>161</v>
      </c>
      <c r="AD96" s="7" t="s">
        <v>252</v>
      </c>
      <c r="AE96" s="7" t="s">
        <v>161</v>
      </c>
      <c r="AF96" s="7" t="s">
        <v>565</v>
      </c>
      <c r="AG96" s="7" t="s">
        <v>572</v>
      </c>
    </row>
    <row r="97" spans="21:33" x14ac:dyDescent="0.35">
      <c r="U97" s="97" t="s">
        <v>32</v>
      </c>
      <c r="V97" s="97" t="s">
        <v>166</v>
      </c>
      <c r="W97" s="97" t="s">
        <v>167</v>
      </c>
      <c r="X97" s="97" t="s">
        <v>527</v>
      </c>
      <c r="Y97" s="97" t="s">
        <v>528</v>
      </c>
      <c r="AA97" s="7" t="s">
        <v>192</v>
      </c>
      <c r="AB97" s="7" t="s">
        <v>97</v>
      </c>
      <c r="AD97" s="7" t="s">
        <v>192</v>
      </c>
      <c r="AE97" s="7" t="s">
        <v>97</v>
      </c>
      <c r="AF97" s="7" t="s">
        <v>567</v>
      </c>
      <c r="AG97" s="7" t="s">
        <v>342</v>
      </c>
    </row>
    <row r="98" spans="21:33" x14ac:dyDescent="0.35">
      <c r="U98" s="97" t="s">
        <v>38</v>
      </c>
      <c r="V98" s="97" t="s">
        <v>168</v>
      </c>
      <c r="W98" s="97" t="s">
        <v>169</v>
      </c>
      <c r="X98" s="97" t="s">
        <v>529</v>
      </c>
      <c r="Y98" s="97" t="s">
        <v>530</v>
      </c>
      <c r="AA98" s="7" t="s">
        <v>100</v>
      </c>
      <c r="AB98" s="7" t="s">
        <v>163</v>
      </c>
      <c r="AD98" s="7" t="s">
        <v>100</v>
      </c>
      <c r="AE98" s="7" t="s">
        <v>163</v>
      </c>
      <c r="AF98" s="7" t="s">
        <v>551</v>
      </c>
      <c r="AG98" s="7" t="s">
        <v>636</v>
      </c>
    </row>
    <row r="99" spans="21:33" x14ac:dyDescent="0.35">
      <c r="U99" s="97" t="s">
        <v>38</v>
      </c>
      <c r="V99" s="97" t="s">
        <v>170</v>
      </c>
      <c r="W99" s="97" t="s">
        <v>171</v>
      </c>
      <c r="X99" s="97" t="s">
        <v>531</v>
      </c>
      <c r="Y99" s="97" t="s">
        <v>532</v>
      </c>
      <c r="AA99" s="7" t="s">
        <v>144</v>
      </c>
      <c r="AB99" s="7" t="s">
        <v>249</v>
      </c>
      <c r="AD99" s="7" t="s">
        <v>144</v>
      </c>
      <c r="AE99" s="7" t="s">
        <v>249</v>
      </c>
      <c r="AF99" s="7" t="s">
        <v>549</v>
      </c>
      <c r="AG99" s="7" t="s">
        <v>700</v>
      </c>
    </row>
    <row r="100" spans="21:33" x14ac:dyDescent="0.35">
      <c r="U100" s="97" t="s">
        <v>38</v>
      </c>
      <c r="V100" s="97" t="s">
        <v>172</v>
      </c>
      <c r="W100" s="97" t="s">
        <v>173</v>
      </c>
      <c r="X100" s="97" t="s">
        <v>533</v>
      </c>
      <c r="Y100" s="97" t="s">
        <v>534</v>
      </c>
      <c r="AA100" s="7" t="s">
        <v>283</v>
      </c>
      <c r="AB100" s="7" t="s">
        <v>332</v>
      </c>
      <c r="AD100" s="7" t="s">
        <v>283</v>
      </c>
      <c r="AE100" s="7" t="s">
        <v>332</v>
      </c>
      <c r="AF100" s="7" t="s">
        <v>553</v>
      </c>
      <c r="AG100" s="7" t="s">
        <v>670</v>
      </c>
    </row>
    <row r="101" spans="21:33" x14ac:dyDescent="0.35">
      <c r="U101" s="97" t="s">
        <v>38</v>
      </c>
      <c r="V101" s="97" t="s">
        <v>172</v>
      </c>
      <c r="W101" s="97" t="s">
        <v>173</v>
      </c>
      <c r="X101" s="97" t="s">
        <v>535</v>
      </c>
      <c r="Y101" s="97" t="s">
        <v>536</v>
      </c>
      <c r="AA101" s="7" t="s">
        <v>140</v>
      </c>
      <c r="AB101" s="7" t="s">
        <v>251</v>
      </c>
      <c r="AD101" s="7" t="s">
        <v>140</v>
      </c>
      <c r="AE101" s="7" t="s">
        <v>251</v>
      </c>
      <c r="AF101" s="7" t="s">
        <v>451</v>
      </c>
      <c r="AG101" s="7" t="s">
        <v>402</v>
      </c>
    </row>
    <row r="102" spans="21:33" x14ac:dyDescent="0.35">
      <c r="U102" s="97" t="s">
        <v>38</v>
      </c>
      <c r="V102" s="97" t="s">
        <v>174</v>
      </c>
      <c r="W102" s="97" t="s">
        <v>175</v>
      </c>
      <c r="X102" s="97" t="s">
        <v>537</v>
      </c>
      <c r="Y102" s="97" t="s">
        <v>538</v>
      </c>
      <c r="AA102" s="7" t="s">
        <v>176</v>
      </c>
      <c r="AB102" s="7" t="s">
        <v>274</v>
      </c>
      <c r="AD102" s="7" t="s">
        <v>176</v>
      </c>
      <c r="AE102" s="7" t="s">
        <v>274</v>
      </c>
      <c r="AF102" s="7" t="s">
        <v>453</v>
      </c>
      <c r="AG102" s="7" t="s">
        <v>604</v>
      </c>
    </row>
    <row r="103" spans="21:33" x14ac:dyDescent="0.35">
      <c r="U103" s="97" t="s">
        <v>38</v>
      </c>
      <c r="V103" s="97" t="s">
        <v>174</v>
      </c>
      <c r="W103" s="97" t="s">
        <v>175</v>
      </c>
      <c r="X103" s="97" t="s">
        <v>539</v>
      </c>
      <c r="Y103" s="97" t="s">
        <v>540</v>
      </c>
      <c r="AA103" s="7" t="s">
        <v>305</v>
      </c>
      <c r="AB103" s="7" t="s">
        <v>189</v>
      </c>
      <c r="AD103" s="7" t="s">
        <v>305</v>
      </c>
      <c r="AE103" s="7" t="s">
        <v>189</v>
      </c>
      <c r="AF103" s="7" t="s">
        <v>505</v>
      </c>
      <c r="AG103" s="7" t="s">
        <v>458</v>
      </c>
    </row>
    <row r="104" spans="21:33" x14ac:dyDescent="0.35">
      <c r="U104" s="97" t="s">
        <v>38</v>
      </c>
      <c r="V104" s="97" t="s">
        <v>176</v>
      </c>
      <c r="W104" s="97" t="s">
        <v>177</v>
      </c>
      <c r="X104" s="97" t="s">
        <v>541</v>
      </c>
      <c r="Y104" s="97" t="s">
        <v>542</v>
      </c>
      <c r="AA104" s="7" t="s">
        <v>313</v>
      </c>
      <c r="AB104" s="7" t="s">
        <v>99</v>
      </c>
      <c r="AD104" s="7" t="s">
        <v>313</v>
      </c>
      <c r="AE104" s="7" t="s">
        <v>99</v>
      </c>
      <c r="AF104" s="7" t="s">
        <v>507</v>
      </c>
      <c r="AG104" s="7" t="s">
        <v>396</v>
      </c>
    </row>
    <row r="105" spans="21:33" x14ac:dyDescent="0.35">
      <c r="U105" s="97" t="s">
        <v>38</v>
      </c>
      <c r="V105" s="97" t="s">
        <v>176</v>
      </c>
      <c r="W105" s="97" t="s">
        <v>177</v>
      </c>
      <c r="X105" s="97" t="s">
        <v>543</v>
      </c>
      <c r="Y105" s="97" t="s">
        <v>544</v>
      </c>
      <c r="AA105" s="7" t="s">
        <v>331</v>
      </c>
      <c r="AB105" s="7" t="s">
        <v>145</v>
      </c>
      <c r="AD105" s="7" t="s">
        <v>331</v>
      </c>
      <c r="AE105" s="7" t="s">
        <v>145</v>
      </c>
      <c r="AF105" s="7" t="s">
        <v>503</v>
      </c>
      <c r="AG105" s="7" t="s">
        <v>532</v>
      </c>
    </row>
    <row r="106" spans="21:33" x14ac:dyDescent="0.35">
      <c r="U106" s="97" t="s">
        <v>38</v>
      </c>
      <c r="V106" s="97" t="s">
        <v>176</v>
      </c>
      <c r="W106" s="97" t="s">
        <v>177</v>
      </c>
      <c r="X106" s="97" t="s">
        <v>545</v>
      </c>
      <c r="Y106" s="97" t="s">
        <v>546</v>
      </c>
      <c r="AA106" s="7" t="s">
        <v>260</v>
      </c>
      <c r="AB106" s="7" t="s">
        <v>233</v>
      </c>
      <c r="AD106" s="7" t="s">
        <v>260</v>
      </c>
      <c r="AE106" s="7" t="s">
        <v>233</v>
      </c>
      <c r="AF106" s="7" t="s">
        <v>381</v>
      </c>
      <c r="AG106" s="7" t="s">
        <v>518</v>
      </c>
    </row>
    <row r="107" spans="21:33" x14ac:dyDescent="0.35">
      <c r="U107" s="97" t="s">
        <v>38</v>
      </c>
      <c r="V107" s="97" t="s">
        <v>176</v>
      </c>
      <c r="W107" s="97" t="s">
        <v>177</v>
      </c>
      <c r="X107" s="97" t="s">
        <v>547</v>
      </c>
      <c r="Y107" s="97" t="s">
        <v>548</v>
      </c>
      <c r="AA107" s="7" t="s">
        <v>287</v>
      </c>
      <c r="AB107" s="7" t="s">
        <v>235</v>
      </c>
      <c r="AD107" s="7" t="s">
        <v>287</v>
      </c>
      <c r="AE107" s="7" t="s">
        <v>235</v>
      </c>
      <c r="AF107" s="7" t="s">
        <v>383</v>
      </c>
      <c r="AG107" s="7" t="s">
        <v>610</v>
      </c>
    </row>
    <row r="108" spans="21:33" x14ac:dyDescent="0.35">
      <c r="U108" s="97" t="s">
        <v>38</v>
      </c>
      <c r="V108" s="97" t="s">
        <v>178</v>
      </c>
      <c r="W108" s="97" t="s">
        <v>179</v>
      </c>
      <c r="X108" s="97" t="s">
        <v>549</v>
      </c>
      <c r="Y108" s="97" t="s">
        <v>550</v>
      </c>
      <c r="AA108" s="7" t="s">
        <v>74</v>
      </c>
      <c r="AB108" s="7" t="s">
        <v>129</v>
      </c>
      <c r="AD108" s="7" t="s">
        <v>74</v>
      </c>
      <c r="AE108" s="7" t="s">
        <v>129</v>
      </c>
      <c r="AF108" s="7" t="s">
        <v>379</v>
      </c>
      <c r="AG108" s="7" t="s">
        <v>448</v>
      </c>
    </row>
    <row r="109" spans="21:33" x14ac:dyDescent="0.35">
      <c r="U109" s="97" t="s">
        <v>38</v>
      </c>
      <c r="V109" s="97" t="s">
        <v>178</v>
      </c>
      <c r="W109" s="97" t="s">
        <v>179</v>
      </c>
      <c r="X109" s="97" t="s">
        <v>551</v>
      </c>
      <c r="Y109" s="97" t="s">
        <v>552</v>
      </c>
      <c r="AA109" s="7" t="s">
        <v>319</v>
      </c>
      <c r="AB109" s="7" t="s">
        <v>276</v>
      </c>
      <c r="AD109" s="7" t="s">
        <v>319</v>
      </c>
      <c r="AE109" s="7" t="s">
        <v>276</v>
      </c>
      <c r="AF109" s="7" t="s">
        <v>533</v>
      </c>
      <c r="AG109" s="7" t="s">
        <v>450</v>
      </c>
    </row>
    <row r="110" spans="21:33" x14ac:dyDescent="0.35">
      <c r="U110" s="97" t="s">
        <v>38</v>
      </c>
      <c r="V110" s="97" t="s">
        <v>178</v>
      </c>
      <c r="W110" s="97" t="s">
        <v>179</v>
      </c>
      <c r="X110" s="97" t="s">
        <v>553</v>
      </c>
      <c r="Y110" s="97" t="s">
        <v>554</v>
      </c>
      <c r="AA110" s="7" t="s">
        <v>138</v>
      </c>
      <c r="AB110" s="7" t="s">
        <v>191</v>
      </c>
      <c r="AD110" s="7" t="s">
        <v>138</v>
      </c>
      <c r="AE110" s="7" t="s">
        <v>191</v>
      </c>
      <c r="AF110" s="7" t="s">
        <v>535</v>
      </c>
      <c r="AG110" s="7" t="s">
        <v>702</v>
      </c>
    </row>
    <row r="111" spans="21:33" x14ac:dyDescent="0.35">
      <c r="U111" s="97" t="s">
        <v>40</v>
      </c>
      <c r="V111" s="97" t="s">
        <v>180</v>
      </c>
      <c r="W111" s="97" t="s">
        <v>181</v>
      </c>
      <c r="X111" s="97" t="s">
        <v>555</v>
      </c>
      <c r="Y111" s="97" t="s">
        <v>556</v>
      </c>
      <c r="AA111" s="7" t="s">
        <v>160</v>
      </c>
      <c r="AB111" s="7" t="s">
        <v>278</v>
      </c>
      <c r="AD111" s="7" t="s">
        <v>160</v>
      </c>
      <c r="AE111" s="7" t="s">
        <v>278</v>
      </c>
      <c r="AF111" s="7" t="s">
        <v>715</v>
      </c>
      <c r="AG111" s="7" t="s">
        <v>640</v>
      </c>
    </row>
    <row r="112" spans="21:33" x14ac:dyDescent="0.35">
      <c r="U112" s="97" t="s">
        <v>40</v>
      </c>
      <c r="V112" s="97" t="s">
        <v>182</v>
      </c>
      <c r="W112" s="97" t="s">
        <v>183</v>
      </c>
      <c r="X112" s="97" t="s">
        <v>557</v>
      </c>
      <c r="Y112" s="97" t="s">
        <v>558</v>
      </c>
      <c r="AA112" s="7" t="s">
        <v>244</v>
      </c>
      <c r="AB112" s="7" t="s">
        <v>207</v>
      </c>
      <c r="AD112" s="7" t="s">
        <v>244</v>
      </c>
      <c r="AE112" s="7" t="s">
        <v>207</v>
      </c>
      <c r="AF112" s="7" t="s">
        <v>717</v>
      </c>
      <c r="AG112" s="7" t="s">
        <v>774</v>
      </c>
    </row>
    <row r="113" spans="21:33" x14ac:dyDescent="0.35">
      <c r="U113" s="97" t="s">
        <v>40</v>
      </c>
      <c r="V113" s="97" t="s">
        <v>184</v>
      </c>
      <c r="W113" s="97" t="s">
        <v>185</v>
      </c>
      <c r="X113" s="97" t="s">
        <v>559</v>
      </c>
      <c r="Y113" s="97" t="s">
        <v>560</v>
      </c>
      <c r="AA113" s="7" t="s">
        <v>116</v>
      </c>
      <c r="AB113" s="7" t="s">
        <v>101</v>
      </c>
      <c r="AD113" s="7" t="s">
        <v>116</v>
      </c>
      <c r="AE113" s="7" t="s">
        <v>101</v>
      </c>
      <c r="AF113" s="7" t="s">
        <v>587</v>
      </c>
      <c r="AG113" s="7" t="s">
        <v>384</v>
      </c>
    </row>
    <row r="114" spans="21:33" x14ac:dyDescent="0.35">
      <c r="U114" s="97" t="s">
        <v>40</v>
      </c>
      <c r="V114" s="97" t="s">
        <v>184</v>
      </c>
      <c r="W114" s="97" t="s">
        <v>185</v>
      </c>
      <c r="X114" s="97" t="s">
        <v>561</v>
      </c>
      <c r="Y114" s="97" t="s">
        <v>562</v>
      </c>
      <c r="AA114" s="7" t="s">
        <v>206</v>
      </c>
      <c r="AB114" s="7" t="s">
        <v>312</v>
      </c>
      <c r="AD114" s="7" t="s">
        <v>206</v>
      </c>
      <c r="AE114" s="7" t="s">
        <v>312</v>
      </c>
      <c r="AF114" s="7" t="s">
        <v>585</v>
      </c>
      <c r="AG114" s="7" t="s">
        <v>762</v>
      </c>
    </row>
    <row r="115" spans="21:33" x14ac:dyDescent="0.35">
      <c r="U115" s="97" t="s">
        <v>40</v>
      </c>
      <c r="V115" s="97" t="s">
        <v>184</v>
      </c>
      <c r="W115" s="97" t="s">
        <v>185</v>
      </c>
      <c r="X115" s="97" t="s">
        <v>563</v>
      </c>
      <c r="Y115" s="97" t="s">
        <v>564</v>
      </c>
      <c r="AA115" s="7" t="s">
        <v>208</v>
      </c>
      <c r="AB115" s="7" t="s">
        <v>193</v>
      </c>
      <c r="AD115" s="7" t="s">
        <v>208</v>
      </c>
      <c r="AE115" s="7" t="s">
        <v>193</v>
      </c>
      <c r="AF115" s="7" t="s">
        <v>589</v>
      </c>
      <c r="AG115" s="7" t="s">
        <v>390</v>
      </c>
    </row>
    <row r="116" spans="21:33" x14ac:dyDescent="0.35">
      <c r="U116" s="97" t="s">
        <v>40</v>
      </c>
      <c r="V116" s="97" t="s">
        <v>186</v>
      </c>
      <c r="W116" s="97" t="s">
        <v>187</v>
      </c>
      <c r="X116" s="97" t="s">
        <v>565</v>
      </c>
      <c r="Y116" s="97" t="s">
        <v>566</v>
      </c>
      <c r="AA116" s="7" t="s">
        <v>323</v>
      </c>
      <c r="AB116" s="7" t="s">
        <v>294</v>
      </c>
      <c r="AD116" s="7" t="s">
        <v>323</v>
      </c>
      <c r="AE116" s="7" t="s">
        <v>294</v>
      </c>
      <c r="AF116" s="7" t="s">
        <v>417</v>
      </c>
      <c r="AG116" s="7" t="s">
        <v>476</v>
      </c>
    </row>
    <row r="117" spans="21:33" x14ac:dyDescent="0.35">
      <c r="U117" s="97" t="s">
        <v>40</v>
      </c>
      <c r="V117" s="97" t="s">
        <v>186</v>
      </c>
      <c r="W117" s="97" t="s">
        <v>187</v>
      </c>
      <c r="X117" s="97" t="s">
        <v>567</v>
      </c>
      <c r="Y117" s="97" t="s">
        <v>568</v>
      </c>
      <c r="AA117" s="7" t="s">
        <v>236</v>
      </c>
      <c r="AB117" s="7" t="s">
        <v>195</v>
      </c>
      <c r="AD117" s="7" t="s">
        <v>236</v>
      </c>
      <c r="AE117" s="7" t="s">
        <v>195</v>
      </c>
      <c r="AF117" s="7" t="s">
        <v>573</v>
      </c>
      <c r="AG117" s="7" t="s">
        <v>582</v>
      </c>
    </row>
    <row r="118" spans="21:33" x14ac:dyDescent="0.35">
      <c r="U118" s="97" t="s">
        <v>40</v>
      </c>
      <c r="V118" s="97" t="s">
        <v>188</v>
      </c>
      <c r="W118" s="97" t="s">
        <v>189</v>
      </c>
      <c r="X118" s="97" t="s">
        <v>569</v>
      </c>
      <c r="Y118" s="97" t="s">
        <v>570</v>
      </c>
      <c r="AA118" s="7" t="s">
        <v>216</v>
      </c>
      <c r="AB118" s="7" t="s">
        <v>177</v>
      </c>
      <c r="AD118" s="7" t="s">
        <v>216</v>
      </c>
      <c r="AE118" s="7" t="s">
        <v>177</v>
      </c>
      <c r="AF118" s="7" t="s">
        <v>571</v>
      </c>
      <c r="AG118" s="7" t="s">
        <v>622</v>
      </c>
    </row>
    <row r="119" spans="21:33" x14ac:dyDescent="0.35">
      <c r="U119" s="97" t="s">
        <v>40</v>
      </c>
      <c r="V119" s="97" t="s">
        <v>190</v>
      </c>
      <c r="W119" s="97" t="s">
        <v>191</v>
      </c>
      <c r="X119" s="97" t="s">
        <v>571</v>
      </c>
      <c r="Y119" s="97" t="s">
        <v>572</v>
      </c>
      <c r="AA119" s="7" t="s">
        <v>248</v>
      </c>
      <c r="AB119" s="7" t="s">
        <v>209</v>
      </c>
      <c r="AD119" s="7" t="s">
        <v>248</v>
      </c>
      <c r="AE119" s="7" t="s">
        <v>209</v>
      </c>
      <c r="AF119" s="7" t="s">
        <v>575</v>
      </c>
      <c r="AG119" s="7" t="s">
        <v>788</v>
      </c>
    </row>
    <row r="120" spans="21:33" x14ac:dyDescent="0.35">
      <c r="U120" s="97" t="s">
        <v>40</v>
      </c>
      <c r="V120" s="97" t="s">
        <v>190</v>
      </c>
      <c r="W120" s="97" t="s">
        <v>191</v>
      </c>
      <c r="X120" s="97" t="s">
        <v>573</v>
      </c>
      <c r="Y120" s="97" t="s">
        <v>574</v>
      </c>
      <c r="AA120" s="7" t="s">
        <v>198</v>
      </c>
      <c r="AB120" s="7" t="s">
        <v>261</v>
      </c>
      <c r="AD120" s="7" t="s">
        <v>198</v>
      </c>
      <c r="AE120" s="7" t="s">
        <v>261</v>
      </c>
      <c r="AF120" s="7" t="s">
        <v>599</v>
      </c>
      <c r="AG120" s="7" t="s">
        <v>804</v>
      </c>
    </row>
    <row r="121" spans="21:33" x14ac:dyDescent="0.35">
      <c r="U121" s="97" t="s">
        <v>40</v>
      </c>
      <c r="V121" s="97" t="s">
        <v>190</v>
      </c>
      <c r="W121" s="97" t="s">
        <v>191</v>
      </c>
      <c r="X121" s="97" t="s">
        <v>575</v>
      </c>
      <c r="Y121" s="97" t="s">
        <v>576</v>
      </c>
      <c r="AA121" s="7" t="s">
        <v>164</v>
      </c>
      <c r="AB121" s="7" t="s">
        <v>179</v>
      </c>
      <c r="AD121" s="7" t="s">
        <v>164</v>
      </c>
      <c r="AE121" s="7" t="s">
        <v>179</v>
      </c>
      <c r="AF121" s="7" t="s">
        <v>557</v>
      </c>
      <c r="AG121" s="7" t="s">
        <v>340</v>
      </c>
    </row>
    <row r="122" spans="21:33" x14ac:dyDescent="0.35">
      <c r="U122" s="97" t="s">
        <v>40</v>
      </c>
      <c r="V122" s="97" t="s">
        <v>192</v>
      </c>
      <c r="W122" s="97" t="s">
        <v>193</v>
      </c>
      <c r="X122" s="97" t="s">
        <v>577</v>
      </c>
      <c r="Y122" s="97" t="s">
        <v>578</v>
      </c>
      <c r="AA122" s="7" t="s">
        <v>110</v>
      </c>
      <c r="AB122" s="7" t="s">
        <v>280</v>
      </c>
      <c r="AD122" s="7" t="s">
        <v>110</v>
      </c>
      <c r="AE122" s="7" t="s">
        <v>280</v>
      </c>
      <c r="AF122" s="7" t="s">
        <v>635</v>
      </c>
      <c r="AG122" s="7" t="s">
        <v>542</v>
      </c>
    </row>
    <row r="123" spans="21:33" x14ac:dyDescent="0.35">
      <c r="U123" s="97" t="s">
        <v>40</v>
      </c>
      <c r="V123" s="97" t="s">
        <v>192</v>
      </c>
      <c r="W123" s="97" t="s">
        <v>193</v>
      </c>
      <c r="X123" s="97" t="s">
        <v>579</v>
      </c>
      <c r="Y123" s="97" t="s">
        <v>580</v>
      </c>
      <c r="AA123" s="7" t="s">
        <v>170</v>
      </c>
      <c r="AB123" s="7" t="s">
        <v>197</v>
      </c>
      <c r="AD123" s="7" t="s">
        <v>170</v>
      </c>
      <c r="AE123" s="7" t="s">
        <v>197</v>
      </c>
      <c r="AF123" s="7" t="s">
        <v>675</v>
      </c>
      <c r="AG123" s="7" t="s">
        <v>438</v>
      </c>
    </row>
    <row r="124" spans="21:33" x14ac:dyDescent="0.35">
      <c r="U124" s="97" t="s">
        <v>40</v>
      </c>
      <c r="V124" s="97" t="s">
        <v>192</v>
      </c>
      <c r="W124" s="97" t="s">
        <v>193</v>
      </c>
      <c r="X124" s="97" t="s">
        <v>581</v>
      </c>
      <c r="Y124" s="97" t="s">
        <v>582</v>
      </c>
      <c r="AA124" s="7" t="s">
        <v>321</v>
      </c>
      <c r="AB124" s="7" t="s">
        <v>165</v>
      </c>
      <c r="AD124" s="7" t="s">
        <v>321</v>
      </c>
      <c r="AE124" s="7" t="s">
        <v>165</v>
      </c>
      <c r="AF124" s="7" t="s">
        <v>651</v>
      </c>
      <c r="AG124" s="7" t="s">
        <v>672</v>
      </c>
    </row>
    <row r="125" spans="21:33" x14ac:dyDescent="0.35">
      <c r="U125" s="97" t="s">
        <v>40</v>
      </c>
      <c r="V125" s="97" t="s">
        <v>192</v>
      </c>
      <c r="W125" s="97" t="s">
        <v>193</v>
      </c>
      <c r="X125" s="97" t="s">
        <v>583</v>
      </c>
      <c r="Y125" s="97" t="s">
        <v>584</v>
      </c>
      <c r="AA125" s="7" t="s">
        <v>120</v>
      </c>
      <c r="AB125" s="7" t="s">
        <v>237</v>
      </c>
      <c r="AD125" s="7" t="s">
        <v>120</v>
      </c>
      <c r="AE125" s="7" t="s">
        <v>237</v>
      </c>
      <c r="AF125" s="7" t="s">
        <v>679</v>
      </c>
      <c r="AG125" s="7" t="s">
        <v>464</v>
      </c>
    </row>
    <row r="126" spans="21:33" x14ac:dyDescent="0.35">
      <c r="U126" s="97" t="s">
        <v>40</v>
      </c>
      <c r="V126" s="97" t="s">
        <v>194</v>
      </c>
      <c r="W126" s="97" t="s">
        <v>195</v>
      </c>
      <c r="X126" s="97" t="s">
        <v>585</v>
      </c>
      <c r="Y126" s="97" t="s">
        <v>586</v>
      </c>
      <c r="AA126" s="7" t="s">
        <v>315</v>
      </c>
      <c r="AB126" s="7" t="s">
        <v>239</v>
      </c>
      <c r="AD126" s="7" t="s">
        <v>315</v>
      </c>
      <c r="AE126" s="7" t="s">
        <v>239</v>
      </c>
      <c r="AF126" s="7" t="s">
        <v>725</v>
      </c>
      <c r="AG126" s="7" t="s">
        <v>682</v>
      </c>
    </row>
    <row r="127" spans="21:33" x14ac:dyDescent="0.35">
      <c r="U127" s="97" t="s">
        <v>40</v>
      </c>
      <c r="V127" s="97" t="s">
        <v>194</v>
      </c>
      <c r="W127" s="97" t="s">
        <v>195</v>
      </c>
      <c r="X127" s="97" t="s">
        <v>587</v>
      </c>
      <c r="Y127" s="97" t="s">
        <v>588</v>
      </c>
      <c r="AA127" s="7" t="s">
        <v>184</v>
      </c>
      <c r="AB127" s="7" t="s">
        <v>334</v>
      </c>
      <c r="AD127" s="7" t="s">
        <v>184</v>
      </c>
      <c r="AE127" s="7" t="s">
        <v>334</v>
      </c>
      <c r="AF127" s="7" t="s">
        <v>751</v>
      </c>
      <c r="AG127" s="7" t="s">
        <v>768</v>
      </c>
    </row>
    <row r="128" spans="21:33" x14ac:dyDescent="0.35">
      <c r="U128" s="97" t="s">
        <v>40</v>
      </c>
      <c r="V128" s="97" t="s">
        <v>194</v>
      </c>
      <c r="W128" s="97" t="s">
        <v>195</v>
      </c>
      <c r="X128" s="97" t="s">
        <v>589</v>
      </c>
      <c r="Y128" s="97" t="s">
        <v>590</v>
      </c>
      <c r="AA128" s="7" t="s">
        <v>254</v>
      </c>
      <c r="AB128" s="7" t="s">
        <v>296</v>
      </c>
      <c r="AD128" s="7" t="s">
        <v>254</v>
      </c>
      <c r="AE128" s="7" t="s">
        <v>296</v>
      </c>
      <c r="AF128" s="7" t="s">
        <v>753</v>
      </c>
      <c r="AG128" s="7" t="s">
        <v>686</v>
      </c>
    </row>
    <row r="129" spans="21:33" x14ac:dyDescent="0.35">
      <c r="U129" s="97" t="s">
        <v>40</v>
      </c>
      <c r="V129" s="97" t="s">
        <v>196</v>
      </c>
      <c r="W129" s="97" t="s">
        <v>197</v>
      </c>
      <c r="X129" s="97" t="s">
        <v>591</v>
      </c>
      <c r="Y129" s="97" t="s">
        <v>592</v>
      </c>
      <c r="AA129" s="7" t="s">
        <v>258</v>
      </c>
      <c r="AB129" s="7" t="s">
        <v>103</v>
      </c>
      <c r="AD129" s="7" t="s">
        <v>258</v>
      </c>
      <c r="AE129" s="7" t="s">
        <v>103</v>
      </c>
      <c r="AF129" s="7" t="s">
        <v>749</v>
      </c>
      <c r="AG129" s="7" t="s">
        <v>652</v>
      </c>
    </row>
    <row r="130" spans="21:33" x14ac:dyDescent="0.35">
      <c r="U130" s="97" t="s">
        <v>40</v>
      </c>
      <c r="V130" s="97" t="s">
        <v>198</v>
      </c>
      <c r="W130" s="97" t="s">
        <v>199</v>
      </c>
      <c r="X130" s="97" t="s">
        <v>593</v>
      </c>
      <c r="Y130" s="97" t="s">
        <v>594</v>
      </c>
      <c r="AA130" s="7" t="s">
        <v>132</v>
      </c>
      <c r="AB130" s="7" t="s">
        <v>167</v>
      </c>
      <c r="AD130" s="7" t="s">
        <v>132</v>
      </c>
      <c r="AE130" s="7" t="s">
        <v>167</v>
      </c>
      <c r="AF130" s="7" t="s">
        <v>781</v>
      </c>
      <c r="AG130" s="7" t="s">
        <v>712</v>
      </c>
    </row>
    <row r="131" spans="21:33" x14ac:dyDescent="0.35">
      <c r="U131" s="97" t="s">
        <v>40</v>
      </c>
      <c r="V131" s="97" t="s">
        <v>198</v>
      </c>
      <c r="W131" s="97" t="s">
        <v>199</v>
      </c>
      <c r="X131" s="97" t="s">
        <v>595</v>
      </c>
      <c r="Y131" s="97" t="s">
        <v>596</v>
      </c>
      <c r="AA131" s="7" t="s">
        <v>297</v>
      </c>
      <c r="AB131" s="7" t="s">
        <v>199</v>
      </c>
      <c r="AD131" s="7" t="s">
        <v>297</v>
      </c>
      <c r="AE131" s="7" t="s">
        <v>199</v>
      </c>
      <c r="AF131" s="7" t="s">
        <v>569</v>
      </c>
      <c r="AG131" s="7" t="s">
        <v>704</v>
      </c>
    </row>
    <row r="132" spans="21:33" x14ac:dyDescent="0.35">
      <c r="U132" s="97" t="s">
        <v>40</v>
      </c>
      <c r="V132" s="97" t="s">
        <v>198</v>
      </c>
      <c r="W132" s="97" t="s">
        <v>199</v>
      </c>
      <c r="X132" s="97" t="s">
        <v>597</v>
      </c>
      <c r="Y132" s="97" t="s">
        <v>598</v>
      </c>
      <c r="AA132" s="7" t="s">
        <v>256</v>
      </c>
      <c r="AB132" s="7" t="s">
        <v>253</v>
      </c>
      <c r="AD132" s="7" t="s">
        <v>256</v>
      </c>
      <c r="AE132" s="7" t="s">
        <v>253</v>
      </c>
      <c r="AF132" s="7" t="s">
        <v>479</v>
      </c>
      <c r="AG132" s="7" t="s">
        <v>544</v>
      </c>
    </row>
    <row r="133" spans="21:33" x14ac:dyDescent="0.35">
      <c r="U133" s="97" t="s">
        <v>40</v>
      </c>
      <c r="V133" s="97" t="s">
        <v>200</v>
      </c>
      <c r="W133" s="97" t="s">
        <v>201</v>
      </c>
      <c r="X133" s="97" t="s">
        <v>599</v>
      </c>
      <c r="Y133" s="97" t="s">
        <v>600</v>
      </c>
      <c r="AA133" s="7" t="s">
        <v>174</v>
      </c>
      <c r="AB133" s="7" t="s">
        <v>201</v>
      </c>
      <c r="AD133" s="7" t="s">
        <v>174</v>
      </c>
      <c r="AE133" s="7" t="s">
        <v>201</v>
      </c>
      <c r="AF133" s="7" t="s">
        <v>481</v>
      </c>
      <c r="AG133" s="7" t="s">
        <v>708</v>
      </c>
    </row>
    <row r="134" spans="21:33" x14ac:dyDescent="0.35">
      <c r="U134" s="97" t="s">
        <v>42</v>
      </c>
      <c r="V134" s="97" t="s">
        <v>202</v>
      </c>
      <c r="W134" s="97" t="s">
        <v>203</v>
      </c>
      <c r="X134" s="97" t="s">
        <v>601</v>
      </c>
      <c r="Y134" s="97" t="s">
        <v>602</v>
      </c>
      <c r="AA134" s="7" t="s">
        <v>80</v>
      </c>
      <c r="AB134" s="7" t="s">
        <v>282</v>
      </c>
      <c r="AD134" s="7" t="s">
        <v>80</v>
      </c>
      <c r="AE134" s="7" t="s">
        <v>282</v>
      </c>
      <c r="AF134" s="7" t="s">
        <v>601</v>
      </c>
      <c r="AG134" s="7" t="s">
        <v>406</v>
      </c>
    </row>
    <row r="135" spans="21:33" x14ac:dyDescent="0.35">
      <c r="U135" s="97" t="s">
        <v>42</v>
      </c>
      <c r="V135" s="97" t="s">
        <v>204</v>
      </c>
      <c r="W135" s="97" t="s">
        <v>205</v>
      </c>
      <c r="X135" s="97" t="s">
        <v>603</v>
      </c>
      <c r="Y135" s="97" t="s">
        <v>604</v>
      </c>
      <c r="AA135" s="7" t="s">
        <v>333</v>
      </c>
      <c r="AB135" s="7" t="s">
        <v>131</v>
      </c>
      <c r="AD135" s="7" t="s">
        <v>333</v>
      </c>
      <c r="AE135" s="7" t="s">
        <v>131</v>
      </c>
      <c r="AF135" s="7" t="s">
        <v>603</v>
      </c>
      <c r="AG135" s="7" t="s">
        <v>460</v>
      </c>
    </row>
    <row r="136" spans="21:33" x14ac:dyDescent="0.35">
      <c r="U136" s="97" t="s">
        <v>42</v>
      </c>
      <c r="V136" s="97" t="s">
        <v>206</v>
      </c>
      <c r="W136" s="97" t="s">
        <v>207</v>
      </c>
      <c r="X136" s="97" t="s">
        <v>605</v>
      </c>
      <c r="Y136" s="97" t="s">
        <v>606</v>
      </c>
      <c r="AF136" s="7" t="s">
        <v>733</v>
      </c>
      <c r="AG136" s="7" t="s">
        <v>754</v>
      </c>
    </row>
    <row r="137" spans="21:33" x14ac:dyDescent="0.35">
      <c r="U137" s="97" t="s">
        <v>42</v>
      </c>
      <c r="V137" s="97" t="s">
        <v>206</v>
      </c>
      <c r="W137" s="97" t="s">
        <v>207</v>
      </c>
      <c r="X137" s="97" t="s">
        <v>607</v>
      </c>
      <c r="Y137" s="97" t="s">
        <v>608</v>
      </c>
      <c r="AF137" s="7" t="s">
        <v>429</v>
      </c>
      <c r="AG137" s="7" t="s">
        <v>694</v>
      </c>
    </row>
    <row r="138" spans="21:33" x14ac:dyDescent="0.35">
      <c r="U138" s="97" t="s">
        <v>42</v>
      </c>
      <c r="V138" s="97" t="s">
        <v>206</v>
      </c>
      <c r="W138" s="97" t="s">
        <v>207</v>
      </c>
      <c r="X138" s="97" t="s">
        <v>609</v>
      </c>
      <c r="Y138" s="97" t="s">
        <v>610</v>
      </c>
      <c r="AF138" s="7" t="s">
        <v>431</v>
      </c>
      <c r="AG138" s="7" t="s">
        <v>658</v>
      </c>
    </row>
    <row r="139" spans="21:33" x14ac:dyDescent="0.35">
      <c r="U139" s="97" t="s">
        <v>42</v>
      </c>
      <c r="V139" s="97" t="s">
        <v>208</v>
      </c>
      <c r="W139" s="97" t="s">
        <v>209</v>
      </c>
      <c r="X139" s="97" t="s">
        <v>611</v>
      </c>
      <c r="Y139" s="97" t="s">
        <v>612</v>
      </c>
      <c r="AF139" s="7" t="s">
        <v>433</v>
      </c>
      <c r="AG139" s="7" t="s">
        <v>674</v>
      </c>
    </row>
    <row r="140" spans="21:33" x14ac:dyDescent="0.35">
      <c r="U140" s="97" t="s">
        <v>44</v>
      </c>
      <c r="V140" s="97" t="s">
        <v>210</v>
      </c>
      <c r="W140" s="97" t="s">
        <v>211</v>
      </c>
      <c r="X140" s="97" t="s">
        <v>613</v>
      </c>
      <c r="Y140" s="97" t="s">
        <v>614</v>
      </c>
      <c r="AF140" s="7" t="s">
        <v>399</v>
      </c>
      <c r="AG140" s="7" t="s">
        <v>690</v>
      </c>
    </row>
    <row r="141" spans="21:33" x14ac:dyDescent="0.35">
      <c r="U141" s="97" t="s">
        <v>44</v>
      </c>
      <c r="V141" s="97" t="s">
        <v>212</v>
      </c>
      <c r="W141" s="97" t="s">
        <v>213</v>
      </c>
      <c r="X141" s="97" t="s">
        <v>615</v>
      </c>
      <c r="Y141" s="97" t="s">
        <v>616</v>
      </c>
      <c r="AF141" s="7" t="s">
        <v>801</v>
      </c>
      <c r="AG141" s="7" t="s">
        <v>538</v>
      </c>
    </row>
    <row r="142" spans="21:33" x14ac:dyDescent="0.35">
      <c r="U142" s="97" t="s">
        <v>44</v>
      </c>
      <c r="V142" s="97" t="s">
        <v>214</v>
      </c>
      <c r="W142" s="97" t="s">
        <v>215</v>
      </c>
      <c r="X142" s="97" t="s">
        <v>617</v>
      </c>
      <c r="Y142" s="97" t="s">
        <v>618</v>
      </c>
      <c r="AF142" s="7" t="s">
        <v>803</v>
      </c>
      <c r="AG142" s="7" t="s">
        <v>552</v>
      </c>
    </row>
    <row r="143" spans="21:33" x14ac:dyDescent="0.35">
      <c r="U143" s="97" t="s">
        <v>44</v>
      </c>
      <c r="V143" s="97" t="s">
        <v>216</v>
      </c>
      <c r="W143" s="97" t="s">
        <v>217</v>
      </c>
      <c r="X143" s="97" t="s">
        <v>619</v>
      </c>
      <c r="Y143" s="97" t="s">
        <v>620</v>
      </c>
      <c r="AF143" s="7" t="s">
        <v>555</v>
      </c>
      <c r="AG143" s="7" t="s">
        <v>806</v>
      </c>
    </row>
    <row r="144" spans="21:33" x14ac:dyDescent="0.35">
      <c r="U144" s="97" t="s">
        <v>44</v>
      </c>
      <c r="V144" s="97" t="s">
        <v>216</v>
      </c>
      <c r="W144" s="97" t="s">
        <v>217</v>
      </c>
      <c r="X144" s="97" t="s">
        <v>621</v>
      </c>
      <c r="Y144" s="97" t="s">
        <v>622</v>
      </c>
      <c r="AF144" s="7" t="s">
        <v>515</v>
      </c>
      <c r="AG144" s="7" t="s">
        <v>776</v>
      </c>
    </row>
    <row r="145" spans="21:33" x14ac:dyDescent="0.35">
      <c r="U145" s="97" t="s">
        <v>44</v>
      </c>
      <c r="V145" s="97" t="s">
        <v>218</v>
      </c>
      <c r="W145" s="97" t="s">
        <v>219</v>
      </c>
      <c r="X145" s="97" t="s">
        <v>623</v>
      </c>
      <c r="Y145" s="97" t="s">
        <v>624</v>
      </c>
      <c r="AF145" s="7" t="s">
        <v>631</v>
      </c>
      <c r="AG145" s="7" t="s">
        <v>730</v>
      </c>
    </row>
    <row r="146" spans="21:33" x14ac:dyDescent="0.35">
      <c r="U146" s="97" t="s">
        <v>44</v>
      </c>
      <c r="V146" s="97" t="s">
        <v>218</v>
      </c>
      <c r="W146" s="97" t="s">
        <v>219</v>
      </c>
      <c r="X146" s="97" t="s">
        <v>625</v>
      </c>
      <c r="Y146" s="97" t="s">
        <v>626</v>
      </c>
      <c r="AF146" s="7" t="s">
        <v>351</v>
      </c>
      <c r="AG146" s="7" t="s">
        <v>570</v>
      </c>
    </row>
    <row r="147" spans="21:33" x14ac:dyDescent="0.35">
      <c r="U147" s="97" t="s">
        <v>44</v>
      </c>
      <c r="V147" s="97" t="s">
        <v>220</v>
      </c>
      <c r="W147" s="97" t="s">
        <v>221</v>
      </c>
      <c r="X147" s="97" t="s">
        <v>627</v>
      </c>
      <c r="Y147" s="97" t="s">
        <v>628</v>
      </c>
      <c r="AF147" s="7" t="s">
        <v>353</v>
      </c>
      <c r="AG147" s="7" t="s">
        <v>676</v>
      </c>
    </row>
    <row r="148" spans="21:33" x14ac:dyDescent="0.35">
      <c r="U148" s="97" t="s">
        <v>44</v>
      </c>
      <c r="V148" s="97" t="s">
        <v>222</v>
      </c>
      <c r="W148" s="97" t="s">
        <v>223</v>
      </c>
      <c r="X148" s="97" t="s">
        <v>629</v>
      </c>
      <c r="Y148" s="97" t="s">
        <v>630</v>
      </c>
      <c r="AF148" s="7" t="s">
        <v>355</v>
      </c>
      <c r="AG148" s="7" t="s">
        <v>734</v>
      </c>
    </row>
    <row r="149" spans="21:33" x14ac:dyDescent="0.35">
      <c r="U149" s="97" t="s">
        <v>44</v>
      </c>
      <c r="V149" s="97" t="s">
        <v>224</v>
      </c>
      <c r="W149" s="97" t="s">
        <v>225</v>
      </c>
      <c r="X149" s="97" t="s">
        <v>631</v>
      </c>
      <c r="Y149" s="97" t="s">
        <v>632</v>
      </c>
      <c r="AF149" s="7" t="s">
        <v>639</v>
      </c>
      <c r="AG149" s="7" t="s">
        <v>546</v>
      </c>
    </row>
    <row r="150" spans="21:33" x14ac:dyDescent="0.35">
      <c r="U150" s="97" t="s">
        <v>44</v>
      </c>
      <c r="V150" s="97" t="s">
        <v>226</v>
      </c>
      <c r="W150" s="97" t="s">
        <v>227</v>
      </c>
      <c r="X150" s="97" t="s">
        <v>633</v>
      </c>
      <c r="Y150" s="97" t="s">
        <v>634</v>
      </c>
      <c r="AF150" s="7" t="s">
        <v>369</v>
      </c>
      <c r="AG150" s="7" t="s">
        <v>564</v>
      </c>
    </row>
    <row r="151" spans="21:33" x14ac:dyDescent="0.35">
      <c r="U151" s="97" t="s">
        <v>44</v>
      </c>
      <c r="V151" s="97" t="s">
        <v>228</v>
      </c>
      <c r="W151" s="97" t="s">
        <v>229</v>
      </c>
      <c r="X151" s="97" t="s">
        <v>635</v>
      </c>
      <c r="Y151" s="97" t="s">
        <v>636</v>
      </c>
      <c r="AF151" s="7" t="s">
        <v>475</v>
      </c>
      <c r="AG151" s="7" t="s">
        <v>466</v>
      </c>
    </row>
    <row r="152" spans="21:33" x14ac:dyDescent="0.35">
      <c r="U152" s="97" t="s">
        <v>44</v>
      </c>
      <c r="V152" s="97" t="s">
        <v>230</v>
      </c>
      <c r="W152" s="97" t="s">
        <v>231</v>
      </c>
      <c r="X152" s="97" t="s">
        <v>637</v>
      </c>
      <c r="Y152" s="97" t="s">
        <v>638</v>
      </c>
      <c r="AF152" s="7" t="s">
        <v>477</v>
      </c>
      <c r="AG152" s="7" t="s">
        <v>454</v>
      </c>
    </row>
    <row r="153" spans="21:33" x14ac:dyDescent="0.35">
      <c r="U153" s="97" t="s">
        <v>44</v>
      </c>
      <c r="V153" s="97" t="s">
        <v>232</v>
      </c>
      <c r="W153" s="97" t="s">
        <v>233</v>
      </c>
      <c r="X153" s="97" t="s">
        <v>639</v>
      </c>
      <c r="Y153" s="97" t="s">
        <v>640</v>
      </c>
      <c r="AF153" s="7" t="s">
        <v>441</v>
      </c>
      <c r="AG153" s="7" t="s">
        <v>456</v>
      </c>
    </row>
    <row r="154" spans="21:33" x14ac:dyDescent="0.35">
      <c r="U154" s="97" t="s">
        <v>44</v>
      </c>
      <c r="V154" s="97" t="s">
        <v>234</v>
      </c>
      <c r="W154" s="97" t="s">
        <v>235</v>
      </c>
      <c r="X154" s="97" t="s">
        <v>641</v>
      </c>
      <c r="Y154" s="97" t="s">
        <v>642</v>
      </c>
      <c r="AF154" s="7" t="s">
        <v>443</v>
      </c>
      <c r="AG154" s="7" t="s">
        <v>548</v>
      </c>
    </row>
    <row r="155" spans="21:33" x14ac:dyDescent="0.35">
      <c r="U155" s="97" t="s">
        <v>44</v>
      </c>
      <c r="V155" s="97" t="s">
        <v>236</v>
      </c>
      <c r="W155" s="97" t="s">
        <v>237</v>
      </c>
      <c r="X155" s="97" t="s">
        <v>643</v>
      </c>
      <c r="Y155" s="97" t="s">
        <v>644</v>
      </c>
      <c r="AF155" s="7" t="s">
        <v>681</v>
      </c>
      <c r="AG155" s="7" t="s">
        <v>584</v>
      </c>
    </row>
    <row r="156" spans="21:33" x14ac:dyDescent="0.35">
      <c r="U156" s="97" t="s">
        <v>44</v>
      </c>
      <c r="V156" s="97" t="s">
        <v>236</v>
      </c>
      <c r="W156" s="97" t="s">
        <v>237</v>
      </c>
      <c r="X156" s="97" t="s">
        <v>645</v>
      </c>
      <c r="Y156" s="97" t="s">
        <v>646</v>
      </c>
      <c r="AF156" s="7" t="s">
        <v>581</v>
      </c>
      <c r="AG156" s="7" t="s">
        <v>490</v>
      </c>
    </row>
    <row r="157" spans="21:33" x14ac:dyDescent="0.35">
      <c r="U157" s="97" t="s">
        <v>44</v>
      </c>
      <c r="V157" s="97" t="s">
        <v>236</v>
      </c>
      <c r="W157" s="97" t="s">
        <v>237</v>
      </c>
      <c r="X157" s="97" t="s">
        <v>647</v>
      </c>
      <c r="Y157" s="97" t="s">
        <v>648</v>
      </c>
      <c r="AF157" s="7" t="s">
        <v>579</v>
      </c>
      <c r="AG157" s="7" t="s">
        <v>770</v>
      </c>
    </row>
    <row r="158" spans="21:33" x14ac:dyDescent="0.35">
      <c r="U158" s="97" t="s">
        <v>44</v>
      </c>
      <c r="V158" s="97" t="s">
        <v>238</v>
      </c>
      <c r="W158" s="97" t="s">
        <v>239</v>
      </c>
      <c r="X158" s="97" t="s">
        <v>649</v>
      </c>
      <c r="Y158" s="97" t="s">
        <v>650</v>
      </c>
      <c r="AF158" s="7" t="s">
        <v>577</v>
      </c>
      <c r="AG158" s="7" t="s">
        <v>638</v>
      </c>
    </row>
    <row r="159" spans="21:33" x14ac:dyDescent="0.35">
      <c r="U159" s="97" t="s">
        <v>34</v>
      </c>
      <c r="V159" s="97" t="s">
        <v>240</v>
      </c>
      <c r="W159" s="97" t="s">
        <v>241</v>
      </c>
      <c r="X159" s="97" t="s">
        <v>651</v>
      </c>
      <c r="Y159" s="97" t="s">
        <v>652</v>
      </c>
      <c r="AF159" s="7" t="s">
        <v>583</v>
      </c>
      <c r="AG159" s="7" t="s">
        <v>728</v>
      </c>
    </row>
    <row r="160" spans="21:33" x14ac:dyDescent="0.35">
      <c r="U160" s="97" t="s">
        <v>34</v>
      </c>
      <c r="V160" s="97" t="s">
        <v>242</v>
      </c>
      <c r="W160" s="97" t="s">
        <v>243</v>
      </c>
      <c r="X160" s="97" t="s">
        <v>653</v>
      </c>
      <c r="Y160" s="97" t="s">
        <v>654</v>
      </c>
      <c r="AF160" s="7" t="s">
        <v>415</v>
      </c>
      <c r="AG160" s="7" t="s">
        <v>520</v>
      </c>
    </row>
    <row r="161" spans="21:33" x14ac:dyDescent="0.35">
      <c r="U161" s="97" t="s">
        <v>34</v>
      </c>
      <c r="V161" s="97" t="s">
        <v>242</v>
      </c>
      <c r="W161" s="97" t="s">
        <v>243</v>
      </c>
      <c r="X161" s="97" t="s">
        <v>655</v>
      </c>
      <c r="Y161" s="97" t="s">
        <v>656</v>
      </c>
      <c r="AF161" s="7" t="s">
        <v>497</v>
      </c>
      <c r="AG161" s="7" t="s">
        <v>646</v>
      </c>
    </row>
    <row r="162" spans="21:33" x14ac:dyDescent="0.35">
      <c r="U162" s="97" t="s">
        <v>34</v>
      </c>
      <c r="V162" s="97" t="s">
        <v>242</v>
      </c>
      <c r="W162" s="97" t="s">
        <v>243</v>
      </c>
      <c r="X162" s="97" t="s">
        <v>657</v>
      </c>
      <c r="Y162" s="97" t="s">
        <v>658</v>
      </c>
      <c r="AF162" s="7" t="s">
        <v>721</v>
      </c>
      <c r="AG162" s="7" t="s">
        <v>344</v>
      </c>
    </row>
    <row r="163" spans="21:33" x14ac:dyDescent="0.35">
      <c r="U163" s="97" t="s">
        <v>34</v>
      </c>
      <c r="V163" s="97" t="s">
        <v>242</v>
      </c>
      <c r="W163" s="97" t="s">
        <v>243</v>
      </c>
      <c r="X163" s="97" t="s">
        <v>659</v>
      </c>
      <c r="Y163" s="97" t="s">
        <v>660</v>
      </c>
      <c r="AF163" s="7" t="s">
        <v>723</v>
      </c>
      <c r="AG163" s="7" t="s">
        <v>408</v>
      </c>
    </row>
    <row r="164" spans="21:33" x14ac:dyDescent="0.35">
      <c r="U164" s="97" t="s">
        <v>34</v>
      </c>
      <c r="V164" s="97" t="s">
        <v>242</v>
      </c>
      <c r="W164" s="97" t="s">
        <v>243</v>
      </c>
      <c r="X164" s="97" t="s">
        <v>661</v>
      </c>
      <c r="Y164" s="97" t="s">
        <v>662</v>
      </c>
      <c r="AF164" s="7" t="s">
        <v>485</v>
      </c>
      <c r="AG164" s="7" t="s">
        <v>364</v>
      </c>
    </row>
    <row r="165" spans="21:33" x14ac:dyDescent="0.35">
      <c r="U165" s="97" t="s">
        <v>34</v>
      </c>
      <c r="V165" s="97" t="s">
        <v>242</v>
      </c>
      <c r="W165" s="97" t="s">
        <v>243</v>
      </c>
      <c r="X165" s="97" t="s">
        <v>663</v>
      </c>
      <c r="Y165" s="97" t="s">
        <v>664</v>
      </c>
      <c r="AF165" s="7" t="s">
        <v>487</v>
      </c>
      <c r="AG165" s="7" t="s">
        <v>444</v>
      </c>
    </row>
    <row r="166" spans="21:33" x14ac:dyDescent="0.35">
      <c r="U166" s="97" t="s">
        <v>34</v>
      </c>
      <c r="V166" s="97" t="s">
        <v>242</v>
      </c>
      <c r="W166" s="97" t="s">
        <v>243</v>
      </c>
      <c r="X166" s="97" t="s">
        <v>665</v>
      </c>
      <c r="Y166" s="97" t="s">
        <v>666</v>
      </c>
      <c r="AF166" s="7" t="s">
        <v>541</v>
      </c>
      <c r="AG166" s="7" t="s">
        <v>660</v>
      </c>
    </row>
    <row r="167" spans="21:33" x14ac:dyDescent="0.35">
      <c r="U167" s="97" t="s">
        <v>34</v>
      </c>
      <c r="V167" s="97" t="s">
        <v>244</v>
      </c>
      <c r="W167" s="97" t="s">
        <v>245</v>
      </c>
      <c r="X167" s="97" t="s">
        <v>667</v>
      </c>
      <c r="Y167" s="97" t="s">
        <v>668</v>
      </c>
      <c r="AF167" s="7" t="s">
        <v>547</v>
      </c>
      <c r="AG167" s="7" t="s">
        <v>756</v>
      </c>
    </row>
    <row r="168" spans="21:33" x14ac:dyDescent="0.35">
      <c r="U168" s="97" t="s">
        <v>34</v>
      </c>
      <c r="V168" s="97" t="s">
        <v>244</v>
      </c>
      <c r="W168" s="97" t="s">
        <v>245</v>
      </c>
      <c r="X168" s="97" t="s">
        <v>669</v>
      </c>
      <c r="Y168" s="97" t="s">
        <v>670</v>
      </c>
      <c r="AF168" s="7" t="s">
        <v>545</v>
      </c>
      <c r="AG168" s="7" t="s">
        <v>374</v>
      </c>
    </row>
    <row r="169" spans="21:33" x14ac:dyDescent="0.35">
      <c r="U169" s="97" t="s">
        <v>34</v>
      </c>
      <c r="V169" s="97" t="s">
        <v>244</v>
      </c>
      <c r="W169" s="97" t="s">
        <v>245</v>
      </c>
      <c r="X169" s="97" t="s">
        <v>671</v>
      </c>
      <c r="Y169" s="97" t="s">
        <v>672</v>
      </c>
      <c r="AF169" s="7" t="s">
        <v>543</v>
      </c>
      <c r="AG169" s="7" t="s">
        <v>772</v>
      </c>
    </row>
    <row r="170" spans="21:33" x14ac:dyDescent="0.35">
      <c r="U170" s="97" t="s">
        <v>34</v>
      </c>
      <c r="V170" s="97" t="s">
        <v>244</v>
      </c>
      <c r="W170" s="97" t="s">
        <v>245</v>
      </c>
      <c r="X170" s="97" t="s">
        <v>673</v>
      </c>
      <c r="Y170" s="97" t="s">
        <v>674</v>
      </c>
      <c r="AF170" s="7" t="s">
        <v>757</v>
      </c>
      <c r="AG170" s="7" t="s">
        <v>812</v>
      </c>
    </row>
    <row r="171" spans="21:33" x14ac:dyDescent="0.35">
      <c r="U171" s="97" t="s">
        <v>34</v>
      </c>
      <c r="V171" s="97" t="s">
        <v>246</v>
      </c>
      <c r="W171" s="97" t="s">
        <v>247</v>
      </c>
      <c r="X171" s="97" t="s">
        <v>675</v>
      </c>
      <c r="Y171" s="97" t="s">
        <v>676</v>
      </c>
      <c r="AF171" s="7" t="s">
        <v>759</v>
      </c>
      <c r="AG171" s="7" t="s">
        <v>366</v>
      </c>
    </row>
    <row r="172" spans="21:33" x14ac:dyDescent="0.35">
      <c r="U172" s="97" t="s">
        <v>34</v>
      </c>
      <c r="V172" s="97" t="s">
        <v>248</v>
      </c>
      <c r="W172" s="97" t="s">
        <v>249</v>
      </c>
      <c r="X172" s="97" t="s">
        <v>677</v>
      </c>
      <c r="Y172" s="97" t="s">
        <v>678</v>
      </c>
      <c r="AF172" s="7" t="s">
        <v>771</v>
      </c>
      <c r="AG172" s="7" t="s">
        <v>678</v>
      </c>
    </row>
    <row r="173" spans="21:33" x14ac:dyDescent="0.35">
      <c r="U173" s="97" t="s">
        <v>34</v>
      </c>
      <c r="V173" s="97" t="s">
        <v>250</v>
      </c>
      <c r="W173" s="97" t="s">
        <v>251</v>
      </c>
      <c r="X173" s="97" t="s">
        <v>679</v>
      </c>
      <c r="Y173" s="97" t="s">
        <v>680</v>
      </c>
      <c r="AF173" s="7" t="s">
        <v>809</v>
      </c>
      <c r="AG173" s="7" t="s">
        <v>744</v>
      </c>
    </row>
    <row r="174" spans="21:33" x14ac:dyDescent="0.35">
      <c r="U174" s="97" t="s">
        <v>34</v>
      </c>
      <c r="V174" s="97" t="s">
        <v>252</v>
      </c>
      <c r="W174" s="97" t="s">
        <v>253</v>
      </c>
      <c r="X174" s="97" t="s">
        <v>681</v>
      </c>
      <c r="Y174" s="97" t="s">
        <v>682</v>
      </c>
      <c r="AF174" s="7" t="s">
        <v>693</v>
      </c>
      <c r="AG174" s="7" t="s">
        <v>492</v>
      </c>
    </row>
    <row r="175" spans="21:33" x14ac:dyDescent="0.35">
      <c r="U175" s="97" t="s">
        <v>36</v>
      </c>
      <c r="V175" s="97" t="s">
        <v>254</v>
      </c>
      <c r="W175" s="97" t="s">
        <v>255</v>
      </c>
      <c r="X175" s="97" t="s">
        <v>683</v>
      </c>
      <c r="Y175" s="97" t="s">
        <v>684</v>
      </c>
      <c r="AF175" s="7" t="s">
        <v>691</v>
      </c>
      <c r="AG175" s="7" t="s">
        <v>494</v>
      </c>
    </row>
    <row r="176" spans="21:33" x14ac:dyDescent="0.35">
      <c r="U176" s="97" t="s">
        <v>36</v>
      </c>
      <c r="V176" s="97" t="s">
        <v>256</v>
      </c>
      <c r="W176" s="97" t="s">
        <v>257</v>
      </c>
      <c r="X176" s="97" t="s">
        <v>685</v>
      </c>
      <c r="Y176" s="97" t="s">
        <v>686</v>
      </c>
      <c r="AF176" s="7" t="s">
        <v>695</v>
      </c>
      <c r="AG176" s="7" t="s">
        <v>778</v>
      </c>
    </row>
    <row r="177" spans="21:33" x14ac:dyDescent="0.35">
      <c r="U177" s="97" t="s">
        <v>36</v>
      </c>
      <c r="V177" s="97" t="s">
        <v>258</v>
      </c>
      <c r="W177" s="97" t="s">
        <v>259</v>
      </c>
      <c r="X177" s="97" t="s">
        <v>687</v>
      </c>
      <c r="Y177" s="97" t="s">
        <v>688</v>
      </c>
      <c r="AF177" s="7" t="s">
        <v>727</v>
      </c>
      <c r="AG177" s="7" t="s">
        <v>680</v>
      </c>
    </row>
    <row r="178" spans="21:33" x14ac:dyDescent="0.35">
      <c r="U178" s="97" t="s">
        <v>36</v>
      </c>
      <c r="V178" s="97" t="s">
        <v>258</v>
      </c>
      <c r="W178" s="97" t="s">
        <v>259</v>
      </c>
      <c r="X178" s="97" t="s">
        <v>689</v>
      </c>
      <c r="Y178" s="97" t="s">
        <v>690</v>
      </c>
      <c r="AF178" s="7" t="s">
        <v>363</v>
      </c>
      <c r="AG178" s="7" t="s">
        <v>726</v>
      </c>
    </row>
    <row r="179" spans="21:33" x14ac:dyDescent="0.35">
      <c r="U179" s="97" t="s">
        <v>36</v>
      </c>
      <c r="V179" s="97" t="s">
        <v>260</v>
      </c>
      <c r="W179" s="97" t="s">
        <v>261</v>
      </c>
      <c r="X179" s="97" t="s">
        <v>691</v>
      </c>
      <c r="Y179" s="97" t="s">
        <v>692</v>
      </c>
      <c r="AF179" s="7" t="s">
        <v>361</v>
      </c>
      <c r="AG179" s="7" t="s">
        <v>486</v>
      </c>
    </row>
    <row r="180" spans="21:33" x14ac:dyDescent="0.35">
      <c r="U180" s="97" t="s">
        <v>36</v>
      </c>
      <c r="V180" s="97" t="s">
        <v>260</v>
      </c>
      <c r="W180" s="97" t="s">
        <v>261</v>
      </c>
      <c r="X180" s="97" t="s">
        <v>693</v>
      </c>
      <c r="Y180" s="97" t="s">
        <v>694</v>
      </c>
      <c r="AF180" s="7" t="s">
        <v>789</v>
      </c>
      <c r="AG180" s="7" t="s">
        <v>574</v>
      </c>
    </row>
    <row r="181" spans="21:33" x14ac:dyDescent="0.35">
      <c r="U181" s="97" t="s">
        <v>36</v>
      </c>
      <c r="V181" s="97" t="s">
        <v>260</v>
      </c>
      <c r="W181" s="97" t="s">
        <v>261</v>
      </c>
      <c r="X181" s="97" t="s">
        <v>695</v>
      </c>
      <c r="Y181" s="97" t="s">
        <v>696</v>
      </c>
      <c r="AF181" s="7" t="s">
        <v>783</v>
      </c>
      <c r="AG181" s="7" t="s">
        <v>540</v>
      </c>
    </row>
    <row r="182" spans="21:33" x14ac:dyDescent="0.35">
      <c r="U182" s="97" t="s">
        <v>46</v>
      </c>
      <c r="V182" s="97" t="s">
        <v>262</v>
      </c>
      <c r="W182" s="97" t="s">
        <v>263</v>
      </c>
      <c r="X182" s="97" t="s">
        <v>697</v>
      </c>
      <c r="Y182" s="97" t="s">
        <v>698</v>
      </c>
      <c r="AF182" s="7" t="s">
        <v>787</v>
      </c>
      <c r="AG182" s="7" t="s">
        <v>642</v>
      </c>
    </row>
    <row r="183" spans="21:33" x14ac:dyDescent="0.35">
      <c r="U183" s="97" t="s">
        <v>46</v>
      </c>
      <c r="V183" s="97" t="s">
        <v>264</v>
      </c>
      <c r="W183" s="97" t="s">
        <v>265</v>
      </c>
      <c r="X183" s="97" t="s">
        <v>699</v>
      </c>
      <c r="Y183" s="97" t="s">
        <v>700</v>
      </c>
      <c r="AF183" s="7" t="s">
        <v>785</v>
      </c>
      <c r="AG183" s="7" t="s">
        <v>780</v>
      </c>
    </row>
    <row r="184" spans="21:33" x14ac:dyDescent="0.35">
      <c r="U184" s="97" t="s">
        <v>46</v>
      </c>
      <c r="V184" s="97" t="s">
        <v>267</v>
      </c>
      <c r="W184" s="97" t="s">
        <v>268</v>
      </c>
      <c r="X184" s="97" t="s">
        <v>701</v>
      </c>
      <c r="Y184" s="97" t="s">
        <v>702</v>
      </c>
      <c r="AF184" s="7" t="s">
        <v>483</v>
      </c>
      <c r="AG184" s="7" t="s">
        <v>516</v>
      </c>
    </row>
    <row r="185" spans="21:33" x14ac:dyDescent="0.35">
      <c r="U185" s="97" t="s">
        <v>46</v>
      </c>
      <c r="V185" s="97" t="s">
        <v>269</v>
      </c>
      <c r="W185" s="97" t="s">
        <v>270</v>
      </c>
      <c r="X185" s="97" t="s">
        <v>703</v>
      </c>
      <c r="Y185" s="97" t="s">
        <v>704</v>
      </c>
      <c r="AF185" s="7" t="s">
        <v>519</v>
      </c>
      <c r="AG185" s="7" t="s">
        <v>346</v>
      </c>
    </row>
    <row r="186" spans="21:33" x14ac:dyDescent="0.35">
      <c r="U186" s="97" t="s">
        <v>46</v>
      </c>
      <c r="V186" s="97" t="s">
        <v>269</v>
      </c>
      <c r="W186" s="97" t="s">
        <v>270</v>
      </c>
      <c r="X186" s="97" t="s">
        <v>705</v>
      </c>
      <c r="Y186" s="97" t="s">
        <v>706</v>
      </c>
      <c r="AF186" s="7" t="s">
        <v>517</v>
      </c>
      <c r="AG186" s="7" t="s">
        <v>498</v>
      </c>
    </row>
    <row r="187" spans="21:33" x14ac:dyDescent="0.35">
      <c r="U187" s="97" t="s">
        <v>46</v>
      </c>
      <c r="V187" s="97" t="s">
        <v>271</v>
      </c>
      <c r="W187" s="97" t="s">
        <v>272</v>
      </c>
      <c r="X187" s="97" t="s">
        <v>707</v>
      </c>
      <c r="Y187" s="97" t="s">
        <v>708</v>
      </c>
      <c r="AF187" s="7" t="s">
        <v>667</v>
      </c>
      <c r="AG187" s="7" t="s">
        <v>798</v>
      </c>
    </row>
    <row r="188" spans="21:33" x14ac:dyDescent="0.35">
      <c r="U188" s="97" t="s">
        <v>46</v>
      </c>
      <c r="V188" s="97" t="s">
        <v>273</v>
      </c>
      <c r="W188" s="97" t="s">
        <v>274</v>
      </c>
      <c r="X188" s="97" t="s">
        <v>709</v>
      </c>
      <c r="Y188" s="97" t="s">
        <v>710</v>
      </c>
      <c r="AF188" s="7" t="s">
        <v>669</v>
      </c>
      <c r="AG188" s="7" t="s">
        <v>418</v>
      </c>
    </row>
    <row r="189" spans="21:33" x14ac:dyDescent="0.35">
      <c r="U189" s="97" t="s">
        <v>46</v>
      </c>
      <c r="V189" s="97" t="s">
        <v>275</v>
      </c>
      <c r="W189" s="97" t="s">
        <v>276</v>
      </c>
      <c r="X189" s="97" t="s">
        <v>711</v>
      </c>
      <c r="Y189" s="97" t="s">
        <v>712</v>
      </c>
      <c r="AF189" s="7" t="s">
        <v>673</v>
      </c>
      <c r="AG189" s="7" t="s">
        <v>714</v>
      </c>
    </row>
    <row r="190" spans="21:33" x14ac:dyDescent="0.35">
      <c r="U190" s="97" t="s">
        <v>46</v>
      </c>
      <c r="V190" s="97" t="s">
        <v>277</v>
      </c>
      <c r="W190" s="97" t="s">
        <v>278</v>
      </c>
      <c r="X190" s="97" t="s">
        <v>713</v>
      </c>
      <c r="Y190" s="97" t="s">
        <v>714</v>
      </c>
      <c r="AF190" s="7" t="s">
        <v>671</v>
      </c>
      <c r="AG190" s="7" t="s">
        <v>662</v>
      </c>
    </row>
    <row r="191" spans="21:33" x14ac:dyDescent="0.35">
      <c r="U191" s="97" t="s">
        <v>46</v>
      </c>
      <c r="V191" s="97" t="s">
        <v>279</v>
      </c>
      <c r="W191" s="97" t="s">
        <v>280</v>
      </c>
      <c r="X191" s="97" t="s">
        <v>715</v>
      </c>
      <c r="Y191" s="97" t="s">
        <v>716</v>
      </c>
      <c r="AF191" s="7" t="s">
        <v>439</v>
      </c>
      <c r="AG191" s="7" t="s">
        <v>416</v>
      </c>
    </row>
    <row r="192" spans="21:33" x14ac:dyDescent="0.35">
      <c r="U192" s="97" t="s">
        <v>46</v>
      </c>
      <c r="V192" s="97" t="s">
        <v>279</v>
      </c>
      <c r="W192" s="97" t="s">
        <v>280</v>
      </c>
      <c r="X192" s="97" t="s">
        <v>717</v>
      </c>
      <c r="Y192" s="97" t="s">
        <v>718</v>
      </c>
      <c r="AF192" s="7" t="s">
        <v>607</v>
      </c>
      <c r="AG192" s="7" t="s">
        <v>664</v>
      </c>
    </row>
    <row r="193" spans="21:33" x14ac:dyDescent="0.35">
      <c r="U193" s="97" t="s">
        <v>46</v>
      </c>
      <c r="V193" s="97" t="s">
        <v>281</v>
      </c>
      <c r="W193" s="97" t="s">
        <v>282</v>
      </c>
      <c r="X193" s="97" t="s">
        <v>719</v>
      </c>
      <c r="Y193" s="97" t="s">
        <v>720</v>
      </c>
      <c r="AF193" s="7" t="s">
        <v>609</v>
      </c>
      <c r="AG193" s="7" t="s">
        <v>588</v>
      </c>
    </row>
    <row r="194" spans="21:33" x14ac:dyDescent="0.35">
      <c r="U194" s="97" t="s">
        <v>48</v>
      </c>
      <c r="V194" s="97" t="s">
        <v>283</v>
      </c>
      <c r="W194" s="97" t="s">
        <v>284</v>
      </c>
      <c r="X194" s="97" t="s">
        <v>721</v>
      </c>
      <c r="Y194" s="97" t="s">
        <v>722</v>
      </c>
      <c r="AF194" s="7" t="s">
        <v>605</v>
      </c>
      <c r="AG194" s="7" t="s">
        <v>500</v>
      </c>
    </row>
    <row r="195" spans="21:33" x14ac:dyDescent="0.35">
      <c r="U195" s="97" t="s">
        <v>48</v>
      </c>
      <c r="V195" s="97" t="s">
        <v>283</v>
      </c>
      <c r="W195" s="97" t="s">
        <v>284</v>
      </c>
      <c r="X195" s="97" t="s">
        <v>723</v>
      </c>
      <c r="Y195" s="97" t="s">
        <v>724</v>
      </c>
      <c r="AF195" s="7" t="s">
        <v>611</v>
      </c>
      <c r="AG195" s="7" t="s">
        <v>392</v>
      </c>
    </row>
    <row r="196" spans="21:33" x14ac:dyDescent="0.35">
      <c r="U196" s="97" t="s">
        <v>48</v>
      </c>
      <c r="V196" s="97" t="s">
        <v>285</v>
      </c>
      <c r="W196" s="97" t="s">
        <v>286</v>
      </c>
      <c r="X196" s="97" t="s">
        <v>725</v>
      </c>
      <c r="Y196" s="97" t="s">
        <v>726</v>
      </c>
      <c r="AF196" s="7" t="s">
        <v>795</v>
      </c>
      <c r="AG196" s="7" t="s">
        <v>472</v>
      </c>
    </row>
    <row r="197" spans="21:33" x14ac:dyDescent="0.35">
      <c r="U197" s="97" t="s">
        <v>48</v>
      </c>
      <c r="V197" s="97" t="s">
        <v>287</v>
      </c>
      <c r="W197" s="97" t="s">
        <v>288</v>
      </c>
      <c r="X197" s="97" t="s">
        <v>727</v>
      </c>
      <c r="Y197" s="97" t="s">
        <v>728</v>
      </c>
      <c r="AF197" s="7" t="s">
        <v>797</v>
      </c>
      <c r="AG197" s="7" t="s">
        <v>484</v>
      </c>
    </row>
    <row r="198" spans="21:33" x14ac:dyDescent="0.35">
      <c r="U198" s="97" t="s">
        <v>48</v>
      </c>
      <c r="V198" s="97" t="s">
        <v>289</v>
      </c>
      <c r="W198" s="97" t="s">
        <v>290</v>
      </c>
      <c r="X198" s="97" t="s">
        <v>729</v>
      </c>
      <c r="Y198" s="97" t="s">
        <v>730</v>
      </c>
      <c r="AF198" s="7" t="s">
        <v>799</v>
      </c>
      <c r="AG198" s="7" t="s">
        <v>526</v>
      </c>
    </row>
    <row r="199" spans="21:33" x14ac:dyDescent="0.35">
      <c r="U199" s="97" t="s">
        <v>48</v>
      </c>
      <c r="V199" s="97" t="s">
        <v>289</v>
      </c>
      <c r="W199" s="97" t="s">
        <v>290</v>
      </c>
      <c r="X199" s="97" t="s">
        <v>731</v>
      </c>
      <c r="Y199" s="97" t="s">
        <v>732</v>
      </c>
      <c r="AF199" s="7" t="s">
        <v>647</v>
      </c>
      <c r="AG199" s="7" t="s">
        <v>566</v>
      </c>
    </row>
    <row r="200" spans="21:33" x14ac:dyDescent="0.35">
      <c r="U200" s="97" t="s">
        <v>48</v>
      </c>
      <c r="V200" s="97" t="s">
        <v>291</v>
      </c>
      <c r="W200" s="97" t="s">
        <v>292</v>
      </c>
      <c r="X200" s="97" t="s">
        <v>733</v>
      </c>
      <c r="Y200" s="97" t="s">
        <v>734</v>
      </c>
      <c r="AF200" s="7" t="s">
        <v>645</v>
      </c>
      <c r="AG200" s="7" t="s">
        <v>648</v>
      </c>
    </row>
    <row r="201" spans="21:33" x14ac:dyDescent="0.35">
      <c r="U201" s="97" t="s">
        <v>48</v>
      </c>
      <c r="V201" s="97" t="s">
        <v>293</v>
      </c>
      <c r="W201" s="97" t="s">
        <v>294</v>
      </c>
      <c r="X201" s="97" t="s">
        <v>735</v>
      </c>
      <c r="Y201" s="97" t="s">
        <v>736</v>
      </c>
      <c r="AF201" s="7" t="s">
        <v>643</v>
      </c>
      <c r="AG201" s="7" t="s">
        <v>706</v>
      </c>
    </row>
    <row r="202" spans="21:33" x14ac:dyDescent="0.35">
      <c r="U202" s="97" t="s">
        <v>48</v>
      </c>
      <c r="V202" s="97" t="s">
        <v>293</v>
      </c>
      <c r="W202" s="97" t="s">
        <v>294</v>
      </c>
      <c r="X202" s="97" t="s">
        <v>737</v>
      </c>
      <c r="Y202" s="97" t="s">
        <v>738</v>
      </c>
      <c r="AF202" s="7" t="s">
        <v>619</v>
      </c>
      <c r="AG202" s="7" t="s">
        <v>482</v>
      </c>
    </row>
    <row r="203" spans="21:33" x14ac:dyDescent="0.35">
      <c r="U203" s="97" t="s">
        <v>48</v>
      </c>
      <c r="V203" s="97" t="s">
        <v>293</v>
      </c>
      <c r="W203" s="97" t="s">
        <v>294</v>
      </c>
      <c r="X203" s="97" t="s">
        <v>739</v>
      </c>
      <c r="Y203" s="97" t="s">
        <v>740</v>
      </c>
      <c r="AF203" s="7" t="s">
        <v>621</v>
      </c>
      <c r="AG203" s="7" t="s">
        <v>354</v>
      </c>
    </row>
    <row r="204" spans="21:33" x14ac:dyDescent="0.35">
      <c r="U204" s="97" t="s">
        <v>48</v>
      </c>
      <c r="V204" s="97" t="s">
        <v>295</v>
      </c>
      <c r="W204" s="97" t="s">
        <v>296</v>
      </c>
      <c r="X204" s="97" t="s">
        <v>741</v>
      </c>
      <c r="Y204" s="97" t="s">
        <v>742</v>
      </c>
      <c r="AF204" s="7" t="s">
        <v>677</v>
      </c>
      <c r="AG204" s="7" t="s">
        <v>650</v>
      </c>
    </row>
    <row r="205" spans="21:33" x14ac:dyDescent="0.35">
      <c r="U205" s="97" t="s">
        <v>50</v>
      </c>
      <c r="V205" s="97" t="s">
        <v>297</v>
      </c>
      <c r="W205" s="97" t="s">
        <v>298</v>
      </c>
      <c r="X205" s="97" t="s">
        <v>743</v>
      </c>
      <c r="Y205" s="97" t="s">
        <v>744</v>
      </c>
      <c r="AF205" s="7" t="s">
        <v>593</v>
      </c>
      <c r="AG205" s="7" t="s">
        <v>376</v>
      </c>
    </row>
    <row r="206" spans="21:33" x14ac:dyDescent="0.35">
      <c r="U206" s="97" t="s">
        <v>50</v>
      </c>
      <c r="V206" s="97" t="s">
        <v>299</v>
      </c>
      <c r="W206" s="97" t="s">
        <v>300</v>
      </c>
      <c r="X206" s="97" t="s">
        <v>745</v>
      </c>
      <c r="Y206" s="97" t="s">
        <v>746</v>
      </c>
      <c r="AF206" s="7" t="s">
        <v>595</v>
      </c>
      <c r="AG206" s="7" t="s">
        <v>696</v>
      </c>
    </row>
    <row r="207" spans="21:33" x14ac:dyDescent="0.35">
      <c r="U207" s="97" t="s">
        <v>50</v>
      </c>
      <c r="V207" s="97" t="s">
        <v>299</v>
      </c>
      <c r="W207" s="97" t="s">
        <v>300</v>
      </c>
      <c r="X207" s="97" t="s">
        <v>747</v>
      </c>
      <c r="Y207" s="97" t="s">
        <v>748</v>
      </c>
      <c r="AF207" s="7" t="s">
        <v>597</v>
      </c>
      <c r="AG207" s="7" t="s">
        <v>742</v>
      </c>
    </row>
    <row r="208" spans="21:33" x14ac:dyDescent="0.35">
      <c r="U208" s="97" t="s">
        <v>50</v>
      </c>
      <c r="V208" s="97" t="s">
        <v>301</v>
      </c>
      <c r="W208" s="97" t="s">
        <v>302</v>
      </c>
      <c r="X208" s="97" t="s">
        <v>749</v>
      </c>
      <c r="Y208" s="97" t="s">
        <v>750</v>
      </c>
      <c r="AF208" s="7" t="s">
        <v>523</v>
      </c>
      <c r="AG208" s="7" t="s">
        <v>748</v>
      </c>
    </row>
    <row r="209" spans="21:33" x14ac:dyDescent="0.35">
      <c r="U209" s="97" t="s">
        <v>50</v>
      </c>
      <c r="V209" s="97" t="s">
        <v>301</v>
      </c>
      <c r="W209" s="97" t="s">
        <v>302</v>
      </c>
      <c r="X209" s="97" t="s">
        <v>751</v>
      </c>
      <c r="Y209" s="97" t="s">
        <v>752</v>
      </c>
      <c r="AF209" s="7" t="s">
        <v>525</v>
      </c>
      <c r="AG209" s="7" t="s">
        <v>348</v>
      </c>
    </row>
    <row r="210" spans="21:33" x14ac:dyDescent="0.35">
      <c r="U210" s="97" t="s">
        <v>50</v>
      </c>
      <c r="V210" s="97" t="s">
        <v>301</v>
      </c>
      <c r="W210" s="97" t="s">
        <v>302</v>
      </c>
      <c r="X210" s="97" t="s">
        <v>753</v>
      </c>
      <c r="Y210" s="97" t="s">
        <v>754</v>
      </c>
      <c r="AF210" s="7" t="s">
        <v>427</v>
      </c>
      <c r="AG210" s="7" t="s">
        <v>522</v>
      </c>
    </row>
    <row r="211" spans="21:33" x14ac:dyDescent="0.35">
      <c r="U211" s="97" t="s">
        <v>50</v>
      </c>
      <c r="V211" s="97" t="s">
        <v>303</v>
      </c>
      <c r="W211" s="97" t="s">
        <v>304</v>
      </c>
      <c r="X211" s="97" t="s">
        <v>755</v>
      </c>
      <c r="Y211" s="97" t="s">
        <v>756</v>
      </c>
      <c r="AF211" s="7" t="s">
        <v>425</v>
      </c>
      <c r="AG211" s="7" t="s">
        <v>496</v>
      </c>
    </row>
    <row r="212" spans="21:33" x14ac:dyDescent="0.35">
      <c r="U212" s="97" t="s">
        <v>50</v>
      </c>
      <c r="V212" s="97" t="s">
        <v>305</v>
      </c>
      <c r="W212" s="97" t="s">
        <v>306</v>
      </c>
      <c r="X212" s="97" t="s">
        <v>757</v>
      </c>
      <c r="Y212" s="97" t="s">
        <v>758</v>
      </c>
      <c r="AF212" s="7" t="s">
        <v>531</v>
      </c>
      <c r="AG212" s="7" t="s">
        <v>350</v>
      </c>
    </row>
    <row r="213" spans="21:33" x14ac:dyDescent="0.35">
      <c r="U213" s="97" t="s">
        <v>50</v>
      </c>
      <c r="V213" s="97" t="s">
        <v>305</v>
      </c>
      <c r="W213" s="97" t="s">
        <v>306</v>
      </c>
      <c r="X213" s="97" t="s">
        <v>759</v>
      </c>
      <c r="Y213" s="97" t="s">
        <v>760</v>
      </c>
      <c r="AF213" s="7" t="s">
        <v>791</v>
      </c>
      <c r="AG213" s="7" t="s">
        <v>398</v>
      </c>
    </row>
    <row r="214" spans="21:33" x14ac:dyDescent="0.35">
      <c r="U214" s="97" t="s">
        <v>50</v>
      </c>
      <c r="V214" s="97" t="s">
        <v>307</v>
      </c>
      <c r="W214" s="97" t="s">
        <v>308</v>
      </c>
      <c r="X214" s="97" t="s">
        <v>761</v>
      </c>
      <c r="Y214" s="97" t="s">
        <v>762</v>
      </c>
      <c r="AF214" s="7" t="s">
        <v>793</v>
      </c>
      <c r="AG214" s="7" t="s">
        <v>808</v>
      </c>
    </row>
    <row r="215" spans="21:33" x14ac:dyDescent="0.35">
      <c r="U215" s="97" t="s">
        <v>50</v>
      </c>
      <c r="V215" s="97" t="s">
        <v>307</v>
      </c>
      <c r="W215" s="97" t="s">
        <v>308</v>
      </c>
      <c r="X215" s="97" t="s">
        <v>763</v>
      </c>
      <c r="Y215" s="97" t="s">
        <v>764</v>
      </c>
      <c r="AF215" s="7" t="s">
        <v>449</v>
      </c>
      <c r="AG215" s="7" t="s">
        <v>388</v>
      </c>
    </row>
    <row r="216" spans="21:33" x14ac:dyDescent="0.35">
      <c r="U216" s="97" t="s">
        <v>50</v>
      </c>
      <c r="V216" s="97" t="s">
        <v>309</v>
      </c>
      <c r="W216" s="97" t="s">
        <v>310</v>
      </c>
      <c r="X216" s="97" t="s">
        <v>765</v>
      </c>
      <c r="Y216" s="97" t="s">
        <v>766</v>
      </c>
      <c r="AF216" s="7" t="s">
        <v>447</v>
      </c>
      <c r="AG216" s="7" t="s">
        <v>514</v>
      </c>
    </row>
    <row r="217" spans="21:33" x14ac:dyDescent="0.35">
      <c r="U217" s="97" t="s">
        <v>50</v>
      </c>
      <c r="V217" s="97" t="s">
        <v>309</v>
      </c>
      <c r="W217" s="97" t="s">
        <v>310</v>
      </c>
      <c r="X217" s="97" t="s">
        <v>767</v>
      </c>
      <c r="Y217" s="97" t="s">
        <v>768</v>
      </c>
      <c r="AF217" s="7" t="s">
        <v>445</v>
      </c>
      <c r="AG217" s="7" t="s">
        <v>732</v>
      </c>
    </row>
    <row r="218" spans="21:33" x14ac:dyDescent="0.35">
      <c r="U218" s="97" t="s">
        <v>50</v>
      </c>
      <c r="V218" s="97" t="s">
        <v>311</v>
      </c>
      <c r="W218" s="97" t="s">
        <v>312</v>
      </c>
      <c r="X218" s="97" t="s">
        <v>769</v>
      </c>
      <c r="Y218" s="97" t="s">
        <v>770</v>
      </c>
      <c r="AF218" s="7" t="s">
        <v>775</v>
      </c>
      <c r="AG218" s="7" t="s">
        <v>462</v>
      </c>
    </row>
    <row r="219" spans="21:33" x14ac:dyDescent="0.35">
      <c r="U219" s="97" t="s">
        <v>52</v>
      </c>
      <c r="V219" s="97" t="s">
        <v>313</v>
      </c>
      <c r="W219" s="97" t="s">
        <v>314</v>
      </c>
      <c r="X219" s="97" t="s">
        <v>771</v>
      </c>
      <c r="Y219" s="97" t="s">
        <v>772</v>
      </c>
      <c r="AF219" s="7" t="s">
        <v>779</v>
      </c>
      <c r="AG219" s="7" t="s">
        <v>764</v>
      </c>
    </row>
    <row r="220" spans="21:33" x14ac:dyDescent="0.35">
      <c r="U220" s="97" t="s">
        <v>52</v>
      </c>
      <c r="V220" s="97" t="s">
        <v>315</v>
      </c>
      <c r="W220" s="97" t="s">
        <v>316</v>
      </c>
      <c r="X220" s="97" t="s">
        <v>773</v>
      </c>
      <c r="Y220" s="97" t="s">
        <v>774</v>
      </c>
      <c r="AF220" s="7" t="s">
        <v>777</v>
      </c>
      <c r="AG220" s="7" t="s">
        <v>368</v>
      </c>
    </row>
    <row r="221" spans="21:33" x14ac:dyDescent="0.35">
      <c r="U221" s="97" t="s">
        <v>52</v>
      </c>
      <c r="V221" s="97" t="s">
        <v>315</v>
      </c>
      <c r="W221" s="97" t="s">
        <v>316</v>
      </c>
      <c r="X221" s="97" t="s">
        <v>775</v>
      </c>
      <c r="Y221" s="97" t="s">
        <v>776</v>
      </c>
      <c r="AF221" s="7" t="s">
        <v>773</v>
      </c>
      <c r="AG221" s="7" t="s">
        <v>360</v>
      </c>
    </row>
    <row r="222" spans="21:33" x14ac:dyDescent="0.35">
      <c r="U222" s="97" t="s">
        <v>52</v>
      </c>
      <c r="V222" s="97" t="s">
        <v>315</v>
      </c>
      <c r="W222" s="97" t="s">
        <v>316</v>
      </c>
      <c r="X222" s="97" t="s">
        <v>777</v>
      </c>
      <c r="Y222" s="97" t="s">
        <v>778</v>
      </c>
      <c r="AF222" s="7" t="s">
        <v>563</v>
      </c>
      <c r="AG222" s="7" t="s">
        <v>410</v>
      </c>
    </row>
    <row r="223" spans="21:33" x14ac:dyDescent="0.35">
      <c r="U223" s="97" t="s">
        <v>52</v>
      </c>
      <c r="V223" s="97" t="s">
        <v>315</v>
      </c>
      <c r="W223" s="97" t="s">
        <v>316</v>
      </c>
      <c r="X223" s="97" t="s">
        <v>779</v>
      </c>
      <c r="Y223" s="97" t="s">
        <v>780</v>
      </c>
      <c r="AF223" s="7" t="s">
        <v>561</v>
      </c>
      <c r="AG223" s="7" t="s">
        <v>568</v>
      </c>
    </row>
    <row r="224" spans="21:33" x14ac:dyDescent="0.35">
      <c r="U224" s="97" t="s">
        <v>52</v>
      </c>
      <c r="V224" s="97" t="s">
        <v>317</v>
      </c>
      <c r="W224" s="97" t="s">
        <v>318</v>
      </c>
      <c r="X224" s="97" t="s">
        <v>781</v>
      </c>
      <c r="Y224" s="97" t="s">
        <v>782</v>
      </c>
      <c r="AF224" s="7" t="s">
        <v>559</v>
      </c>
      <c r="AG224" s="7" t="s">
        <v>554</v>
      </c>
    </row>
    <row r="225" spans="21:33" x14ac:dyDescent="0.35">
      <c r="U225" s="97" t="s">
        <v>52</v>
      </c>
      <c r="V225" s="97" t="s">
        <v>319</v>
      </c>
      <c r="W225" s="97" t="s">
        <v>320</v>
      </c>
      <c r="X225" s="97" t="s">
        <v>783</v>
      </c>
      <c r="Y225" s="97" t="s">
        <v>784</v>
      </c>
      <c r="AF225" s="7" t="s">
        <v>683</v>
      </c>
      <c r="AG225" s="7" t="s">
        <v>536</v>
      </c>
    </row>
    <row r="226" spans="21:33" x14ac:dyDescent="0.35">
      <c r="U226" s="97" t="s">
        <v>52</v>
      </c>
      <c r="V226" s="97" t="s">
        <v>319</v>
      </c>
      <c r="W226" s="97" t="s">
        <v>320</v>
      </c>
      <c r="X226" s="97" t="s">
        <v>785</v>
      </c>
      <c r="Y226" s="97" t="s">
        <v>786</v>
      </c>
      <c r="AF226" s="7" t="s">
        <v>687</v>
      </c>
      <c r="AG226" s="7" t="s">
        <v>718</v>
      </c>
    </row>
    <row r="227" spans="21:33" x14ac:dyDescent="0.35">
      <c r="U227" s="97" t="s">
        <v>52</v>
      </c>
      <c r="V227" s="97" t="s">
        <v>319</v>
      </c>
      <c r="W227" s="97" t="s">
        <v>320</v>
      </c>
      <c r="X227" s="97" t="s">
        <v>787</v>
      </c>
      <c r="Y227" s="97" t="s">
        <v>788</v>
      </c>
      <c r="AF227" s="7" t="s">
        <v>689</v>
      </c>
      <c r="AG227" s="7" t="s">
        <v>590</v>
      </c>
    </row>
    <row r="228" spans="21:33" x14ac:dyDescent="0.35">
      <c r="U228" s="97" t="s">
        <v>52</v>
      </c>
      <c r="V228" s="97" t="s">
        <v>319</v>
      </c>
      <c r="W228" s="97" t="s">
        <v>320</v>
      </c>
      <c r="X228" s="97" t="s">
        <v>789</v>
      </c>
      <c r="Y228" s="97" t="s">
        <v>790</v>
      </c>
      <c r="AF228" s="7" t="s">
        <v>471</v>
      </c>
      <c r="AG228" s="7" t="s">
        <v>576</v>
      </c>
    </row>
    <row r="229" spans="21:33" x14ac:dyDescent="0.35">
      <c r="U229" s="97" t="s">
        <v>52</v>
      </c>
      <c r="V229" s="97" t="s">
        <v>321</v>
      </c>
      <c r="W229" s="97" t="s">
        <v>322</v>
      </c>
      <c r="X229" s="97" t="s">
        <v>791</v>
      </c>
      <c r="Y229" s="97" t="s">
        <v>792</v>
      </c>
      <c r="AF229" s="7" t="s">
        <v>469</v>
      </c>
      <c r="AG229" s="7" t="s">
        <v>356</v>
      </c>
    </row>
    <row r="230" spans="21:33" x14ac:dyDescent="0.35">
      <c r="U230" s="97" t="s">
        <v>52</v>
      </c>
      <c r="V230" s="97" t="s">
        <v>321</v>
      </c>
      <c r="W230" s="97" t="s">
        <v>322</v>
      </c>
      <c r="X230" s="97" t="s">
        <v>793</v>
      </c>
      <c r="Y230" s="97" t="s">
        <v>794</v>
      </c>
      <c r="AF230" s="7" t="s">
        <v>473</v>
      </c>
      <c r="AG230" s="7" t="s">
        <v>478</v>
      </c>
    </row>
    <row r="231" spans="21:33" x14ac:dyDescent="0.35">
      <c r="U231" s="97" t="s">
        <v>52</v>
      </c>
      <c r="V231" s="97" t="s">
        <v>323</v>
      </c>
      <c r="W231" s="97" t="s">
        <v>324</v>
      </c>
      <c r="X231" s="97" t="s">
        <v>795</v>
      </c>
      <c r="Y231" s="97" t="s">
        <v>796</v>
      </c>
      <c r="AF231" s="7" t="s">
        <v>743</v>
      </c>
      <c r="AG231" s="7" t="s">
        <v>488</v>
      </c>
    </row>
    <row r="232" spans="21:33" x14ac:dyDescent="0.35">
      <c r="U232" s="97" t="s">
        <v>52</v>
      </c>
      <c r="V232" s="97" t="s">
        <v>323</v>
      </c>
      <c r="W232" s="97" t="s">
        <v>324</v>
      </c>
      <c r="X232" s="97" t="s">
        <v>797</v>
      </c>
      <c r="Y232" s="97" t="s">
        <v>798</v>
      </c>
      <c r="AF232" s="7" t="s">
        <v>685</v>
      </c>
      <c r="AG232" s="7" t="s">
        <v>800</v>
      </c>
    </row>
    <row r="233" spans="21:33" x14ac:dyDescent="0.35">
      <c r="U233" s="97" t="s">
        <v>52</v>
      </c>
      <c r="V233" s="97" t="s">
        <v>323</v>
      </c>
      <c r="W233" s="97" t="s">
        <v>324</v>
      </c>
      <c r="X233" s="97" t="s">
        <v>799</v>
      </c>
      <c r="Y233" s="97" t="s">
        <v>800</v>
      </c>
      <c r="AF233" s="7" t="s">
        <v>537</v>
      </c>
      <c r="AG233" s="7" t="s">
        <v>474</v>
      </c>
    </row>
    <row r="234" spans="21:33" x14ac:dyDescent="0.35">
      <c r="U234" s="97" t="s">
        <v>52</v>
      </c>
      <c r="V234" s="97" t="s">
        <v>325</v>
      </c>
      <c r="W234" s="97" t="s">
        <v>326</v>
      </c>
      <c r="X234" s="97" t="s">
        <v>801</v>
      </c>
      <c r="Y234" s="97" t="s">
        <v>802</v>
      </c>
      <c r="AF234" s="7" t="s">
        <v>539</v>
      </c>
      <c r="AG234" s="7" t="s">
        <v>378</v>
      </c>
    </row>
    <row r="235" spans="21:33" x14ac:dyDescent="0.35">
      <c r="U235" s="97" t="s">
        <v>52</v>
      </c>
      <c r="V235" s="97" t="s">
        <v>327</v>
      </c>
      <c r="W235" s="97" t="s">
        <v>328</v>
      </c>
      <c r="X235" s="97" t="s">
        <v>803</v>
      </c>
      <c r="Y235" s="97" t="s">
        <v>804</v>
      </c>
      <c r="AF235" s="7" t="s">
        <v>373</v>
      </c>
      <c r="AG235" s="7" t="s">
        <v>790</v>
      </c>
    </row>
    <row r="236" spans="21:33" x14ac:dyDescent="0.35">
      <c r="U236" s="97" t="s">
        <v>52</v>
      </c>
      <c r="V236" s="97" t="s">
        <v>329</v>
      </c>
      <c r="W236" s="97" t="s">
        <v>330</v>
      </c>
      <c r="X236" s="97" t="s">
        <v>805</v>
      </c>
      <c r="Y236" s="97" t="s">
        <v>806</v>
      </c>
      <c r="AF236" s="7" t="s">
        <v>371</v>
      </c>
      <c r="AG236" s="7" t="s">
        <v>598</v>
      </c>
    </row>
    <row r="237" spans="21:33" x14ac:dyDescent="0.35">
      <c r="U237" s="97" t="s">
        <v>52</v>
      </c>
      <c r="V237" s="97" t="s">
        <v>329</v>
      </c>
      <c r="W237" s="97" t="s">
        <v>330</v>
      </c>
      <c r="X237" s="97" t="s">
        <v>807</v>
      </c>
      <c r="Y237" s="97" t="s">
        <v>808</v>
      </c>
      <c r="AF237" s="7" t="s">
        <v>375</v>
      </c>
      <c r="AG237" s="7" t="s">
        <v>814</v>
      </c>
    </row>
    <row r="238" spans="21:33" x14ac:dyDescent="0.35">
      <c r="U238" s="97" t="s">
        <v>52</v>
      </c>
      <c r="V238" s="97" t="s">
        <v>331</v>
      </c>
      <c r="W238" s="97" t="s">
        <v>332</v>
      </c>
      <c r="X238" s="97" t="s">
        <v>809</v>
      </c>
      <c r="Y238" s="97" t="s">
        <v>810</v>
      </c>
      <c r="AF238" s="7" t="s">
        <v>377</v>
      </c>
      <c r="AG238" s="7" t="s">
        <v>666</v>
      </c>
    </row>
    <row r="239" spans="21:33" x14ac:dyDescent="0.35">
      <c r="U239" s="97" t="s">
        <v>52</v>
      </c>
      <c r="V239" s="97" t="s">
        <v>333</v>
      </c>
      <c r="W239" s="97" t="s">
        <v>334</v>
      </c>
      <c r="X239" s="97" t="s">
        <v>811</v>
      </c>
      <c r="Y239" s="97" t="s">
        <v>812</v>
      </c>
      <c r="AF239" s="7" t="s">
        <v>811</v>
      </c>
      <c r="AG239" s="7" t="s">
        <v>720</v>
      </c>
    </row>
    <row r="240" spans="21:33" x14ac:dyDescent="0.35">
      <c r="U240" s="97" t="s">
        <v>52</v>
      </c>
      <c r="V240" s="97" t="s">
        <v>333</v>
      </c>
      <c r="W240" s="97" t="s">
        <v>334</v>
      </c>
      <c r="X240" s="97" t="s">
        <v>813</v>
      </c>
      <c r="Y240" s="97" t="s">
        <v>814</v>
      </c>
      <c r="AF240" s="7" t="s">
        <v>813</v>
      </c>
      <c r="AG240" s="7" t="s">
        <v>468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Region (Local Office)</vt:lpstr>
      <vt:lpstr>Trusts</vt:lpstr>
      <vt:lpstr>Sites</vt:lpstr>
      <vt:lpstr>BS</vt:lpstr>
    </vt:vector>
  </TitlesOfParts>
  <Company>NHS South West Commissioning Support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 Hughes</dc:creator>
  <cp:lastModifiedBy>George Stevenson</cp:lastModifiedBy>
  <dcterms:created xsi:type="dcterms:W3CDTF">2019-08-22T12:23:02Z</dcterms:created>
  <dcterms:modified xsi:type="dcterms:W3CDTF">2025-08-29T11:29:19Z</dcterms:modified>
</cp:coreProperties>
</file>